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okumen\Sure Trust INTERNSHIP\Excel\"/>
    </mc:Choice>
  </mc:AlternateContent>
  <xr:revisionPtr revIDLastSave="0" documentId="13_ncr:1_{AB3568D3-89AF-41BB-A25B-E2F89461E7BC}" xr6:coauthVersionLast="47" xr6:coauthVersionMax="47" xr10:uidLastSave="{00000000-0000-0000-0000-000000000000}"/>
  <bookViews>
    <workbookView xWindow="-108" yWindow="-108" windowWidth="23256" windowHeight="13176" tabRatio="804" activeTab="3" xr2:uid="{B6978ABE-BD26-4D92-8E9B-F05247EACC8F}"/>
  </bookViews>
  <sheets>
    <sheet name="EXCEL PRACTICAL-1" sheetId="1" r:id="rId1"/>
    <sheet name="EXCEL PRACTICAL-2" sheetId="2" r:id="rId2"/>
    <sheet name="EXCEL PRACTICAL-3" sheetId="3" r:id="rId3"/>
    <sheet name="EXCEL PRACTICAL-4 " sheetId="7" r:id="rId4"/>
  </sheets>
  <definedNames>
    <definedName name="_xlnm._FilterDatabase" localSheetId="2" hidden="1">'EXCEL PRACTICAL-3'!$B$63:$F$78</definedName>
    <definedName name="_xlnm.Criteria" localSheetId="2">'EXCEL PRACTICAL-3'!$B$80:$F$81</definedName>
    <definedName name="_xlnm.Extract" localSheetId="2">'EXCEL PRACTICAL-3'!$B$43:$F$43</definedName>
    <definedName name="solver_adj" localSheetId="3" hidden="1">'EXCEL PRACTICAL-4 '!$C$29:$D$29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'EXCEL PRACTICAL-4 '!$C$29</definedName>
    <definedName name="solver_lhs2" localSheetId="3" hidden="1">'EXCEL PRACTICAL-4 '!$C$29</definedName>
    <definedName name="solver_lhs3" localSheetId="3" hidden="1">'EXCEL PRACTICAL-4 '!$D$29</definedName>
    <definedName name="solver_lhs4" localSheetId="3" hidden="1">'EXCEL PRACTICAL-4 '!$D$29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4</definedName>
    <definedName name="solver_nwt" localSheetId="3" hidden="1">1</definedName>
    <definedName name="solver_opt" localSheetId="3" hidden="1">'EXCEL PRACTICAL-4 '!$F$29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el3" localSheetId="3" hidden="1">1</definedName>
    <definedName name="solver_rel4" localSheetId="3" hidden="1">3</definedName>
    <definedName name="solver_rhs1" localSheetId="3" hidden="1">12000</definedName>
    <definedName name="solver_rhs2" localSheetId="3" hidden="1">9000</definedName>
    <definedName name="solver_rhs3" localSheetId="3" hidden="1">1000</definedName>
    <definedName name="solver_rhs4" localSheetId="3" hidden="1">400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  <definedName name="Z_8FE9C7E0_3B4A_4089_940B_F6B542D91A57_.wvu.FilterCriteria" localSheetId="2" hidden="1">'EXCEL PRACTICAL-3'!$B$80:$F$81</definedName>
    <definedName name="Z_8FE9C7E0_3B4A_4089_940B_F6B542D91A57_.wvu.FilterData" localSheetId="2" hidden="1">'EXCEL PRACTICAL-3'!$B$63:$F$78</definedName>
    <definedName name="Z_8FE9C7E0_3B4A_4089_940B_F6B542D91A57_.wvu.Rows" localSheetId="2" hidden="1">'EXCEL PRACTICAL-3'!$26:$28,'EXCEL PRACTICAL-3'!$30:$32,'EXCEL PRACTICAL-3'!$34:$36,'EXCEL PRACTICAL-3'!$38:$40,'EXCEL PRACTICAL-3'!$44:$45,'EXCEL PRACTICAL-3'!$47:$51,'EXCEL PRACTICAL-3'!$54:$58</definedName>
  </definedNames>
  <calcPr calcId="191029"/>
  <customWorkbookViews>
    <customWorkbookView name="hga" guid="{8FE9C7E0-3B4A-4089-940B-F6B542D91A57}" maximized="1" xWindow="-9" yWindow="-9" windowWidth="1938" windowHeight="1098" tabRatio="80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25" i="1"/>
  <c r="E24" i="1"/>
  <c r="F24" i="1" s="1"/>
  <c r="F29" i="7"/>
  <c r="F24" i="7"/>
  <c r="P8" i="3"/>
  <c r="P9" i="3"/>
  <c r="P10" i="3"/>
  <c r="P11" i="3"/>
  <c r="P12" i="3"/>
  <c r="P13" i="3"/>
  <c r="P14" i="3"/>
  <c r="P15" i="3"/>
  <c r="P16" i="3"/>
  <c r="P7" i="3"/>
  <c r="F33" i="1"/>
  <c r="D9" i="1"/>
  <c r="E9" i="1"/>
  <c r="F9" i="1"/>
  <c r="G9" i="1"/>
  <c r="C9" i="1"/>
  <c r="F8" i="2"/>
  <c r="G8" i="2" s="1"/>
  <c r="F9" i="2"/>
  <c r="F10" i="2"/>
  <c r="G10" i="2" s="1"/>
  <c r="F11" i="2"/>
  <c r="F12" i="2"/>
  <c r="F13" i="2"/>
  <c r="G13" i="2" s="1"/>
  <c r="F14" i="2"/>
  <c r="F15" i="2"/>
  <c r="G15" i="2" s="1"/>
  <c r="F16" i="2"/>
  <c r="F17" i="2"/>
  <c r="G17" i="2" s="1"/>
  <c r="F18" i="2"/>
  <c r="F19" i="2"/>
  <c r="F20" i="2"/>
  <c r="G20" i="2" s="1"/>
  <c r="F21" i="2"/>
  <c r="F22" i="2"/>
  <c r="F23" i="2"/>
  <c r="G23" i="2" s="1"/>
  <c r="F24" i="2"/>
  <c r="F25" i="2"/>
  <c r="F26" i="2"/>
  <c r="F27" i="2"/>
  <c r="F28" i="2"/>
  <c r="F29" i="2"/>
  <c r="F30" i="2"/>
  <c r="G30" i="2" s="1"/>
  <c r="F31" i="2"/>
  <c r="F32" i="2"/>
  <c r="F33" i="2"/>
  <c r="F34" i="2"/>
  <c r="F35" i="2"/>
  <c r="G35" i="2" s="1"/>
  <c r="F36" i="2"/>
  <c r="F37" i="2"/>
  <c r="F38" i="2"/>
  <c r="F39" i="2"/>
  <c r="G39" i="2" s="1"/>
  <c r="F40" i="2"/>
  <c r="G40" i="2" s="1"/>
  <c r="F41" i="2"/>
  <c r="F42" i="2"/>
  <c r="F43" i="2"/>
  <c r="F44" i="2"/>
  <c r="F45" i="2"/>
  <c r="G45" i="2" s="1"/>
  <c r="F46" i="2"/>
  <c r="F47" i="2"/>
  <c r="F48" i="2"/>
  <c r="G48" i="2" s="1"/>
  <c r="F49" i="2"/>
  <c r="F50" i="2"/>
  <c r="F51" i="2"/>
  <c r="F52" i="2"/>
  <c r="F53" i="2"/>
  <c r="F54" i="2"/>
  <c r="G54" i="2" s="1"/>
  <c r="F55" i="2"/>
  <c r="F56" i="2"/>
  <c r="F7" i="2"/>
  <c r="R25" i="2"/>
  <c r="R66" i="2"/>
  <c r="R23" i="2"/>
  <c r="Q24" i="2"/>
  <c r="Q25" i="2"/>
  <c r="Q26" i="2"/>
  <c r="Q27" i="2"/>
  <c r="Q28" i="2"/>
  <c r="Q29" i="2"/>
  <c r="Q30" i="2"/>
  <c r="Q31" i="2"/>
  <c r="Q40" i="2"/>
  <c r="Q42" i="2"/>
  <c r="Q47" i="2"/>
  <c r="Q48" i="2"/>
  <c r="Q50" i="2"/>
  <c r="R50" i="2" s="1"/>
  <c r="Q63" i="2"/>
  <c r="Q64" i="2"/>
  <c r="Q66" i="2"/>
  <c r="Q71" i="2"/>
  <c r="Q72" i="2"/>
  <c r="Q23" i="2"/>
  <c r="P24" i="2"/>
  <c r="R24" i="2" s="1"/>
  <c r="P25" i="2"/>
  <c r="P26" i="2"/>
  <c r="R26" i="2" s="1"/>
  <c r="P27" i="2"/>
  <c r="R27" i="2" s="1"/>
  <c r="P28" i="2"/>
  <c r="R28" i="2" s="1"/>
  <c r="P29" i="2"/>
  <c r="R29" i="2" s="1"/>
  <c r="P30" i="2"/>
  <c r="R30" i="2" s="1"/>
  <c r="P31" i="2"/>
  <c r="P32" i="2"/>
  <c r="P33" i="2"/>
  <c r="Q33" i="2" s="1"/>
  <c r="R33" i="2" s="1"/>
  <c r="P34" i="2"/>
  <c r="Q34" i="2" s="1"/>
  <c r="P35" i="2"/>
  <c r="P36" i="2"/>
  <c r="Q36" i="2" s="1"/>
  <c r="R36" i="2" s="1"/>
  <c r="P37" i="2"/>
  <c r="Q37" i="2" s="1"/>
  <c r="P38" i="2"/>
  <c r="Q38" i="2" s="1"/>
  <c r="P39" i="2"/>
  <c r="Q39" i="2" s="1"/>
  <c r="P40" i="2"/>
  <c r="P41" i="2"/>
  <c r="Q41" i="2" s="1"/>
  <c r="R41" i="2" s="1"/>
  <c r="P42" i="2"/>
  <c r="R42" i="2" s="1"/>
  <c r="P43" i="2"/>
  <c r="P44" i="2"/>
  <c r="Q44" i="2" s="1"/>
  <c r="R44" i="2" s="1"/>
  <c r="P45" i="2"/>
  <c r="Q45" i="2" s="1"/>
  <c r="P46" i="2"/>
  <c r="Q46" i="2" s="1"/>
  <c r="P47" i="2"/>
  <c r="P48" i="2"/>
  <c r="P49" i="2"/>
  <c r="Q49" i="2" s="1"/>
  <c r="R49" i="2" s="1"/>
  <c r="P50" i="2"/>
  <c r="P51" i="2"/>
  <c r="P52" i="2"/>
  <c r="Q52" i="2" s="1"/>
  <c r="R52" i="2" s="1"/>
  <c r="P53" i="2"/>
  <c r="Q53" i="2" s="1"/>
  <c r="P54" i="2"/>
  <c r="Q54" i="2" s="1"/>
  <c r="P55" i="2"/>
  <c r="P56" i="2"/>
  <c r="P57" i="2"/>
  <c r="Q57" i="2" s="1"/>
  <c r="R57" i="2" s="1"/>
  <c r="P58" i="2"/>
  <c r="Q58" i="2" s="1"/>
  <c r="R58" i="2" s="1"/>
  <c r="P59" i="2"/>
  <c r="P60" i="2"/>
  <c r="Q60" i="2" s="1"/>
  <c r="R60" i="2" s="1"/>
  <c r="P61" i="2"/>
  <c r="Q61" i="2" s="1"/>
  <c r="P62" i="2"/>
  <c r="Q62" i="2" s="1"/>
  <c r="P63" i="2"/>
  <c r="P64" i="2"/>
  <c r="P65" i="2"/>
  <c r="Q65" i="2" s="1"/>
  <c r="R65" i="2" s="1"/>
  <c r="P66" i="2"/>
  <c r="P67" i="2"/>
  <c r="P68" i="2"/>
  <c r="Q68" i="2" s="1"/>
  <c r="R68" i="2" s="1"/>
  <c r="P69" i="2"/>
  <c r="Q69" i="2" s="1"/>
  <c r="P70" i="2"/>
  <c r="Q70" i="2" s="1"/>
  <c r="P71" i="2"/>
  <c r="P72" i="2"/>
  <c r="P23" i="2"/>
  <c r="P7" i="2"/>
  <c r="P8" i="2"/>
  <c r="P9" i="2"/>
  <c r="P10" i="2"/>
  <c r="P11" i="2"/>
  <c r="P12" i="2"/>
  <c r="P13" i="2"/>
  <c r="P14" i="2"/>
  <c r="P15" i="2"/>
  <c r="P1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7" i="2"/>
  <c r="L9" i="1"/>
  <c r="L10" i="1"/>
  <c r="L11" i="1"/>
  <c r="L12" i="1"/>
  <c r="L13" i="1"/>
  <c r="L14" i="1"/>
  <c r="L15" i="1"/>
  <c r="L16" i="1"/>
  <c r="L17" i="1"/>
  <c r="L8" i="1"/>
  <c r="G42" i="2" l="1"/>
  <c r="G34" i="2"/>
  <c r="G18" i="2"/>
  <c r="G7" i="2"/>
  <c r="G41" i="2"/>
  <c r="G9" i="2"/>
  <c r="G55" i="2"/>
  <c r="G31" i="2"/>
  <c r="G38" i="2"/>
  <c r="G14" i="2"/>
  <c r="R34" i="2"/>
  <c r="G53" i="2"/>
  <c r="G37" i="2"/>
  <c r="G29" i="2"/>
  <c r="G21" i="2"/>
  <c r="G56" i="2"/>
  <c r="G24" i="2"/>
  <c r="G16" i="2"/>
  <c r="G47" i="2"/>
  <c r="G22" i="2"/>
  <c r="R72" i="2"/>
  <c r="R64" i="2"/>
  <c r="R56" i="2"/>
  <c r="R48" i="2"/>
  <c r="R40" i="2"/>
  <c r="Q56" i="2"/>
  <c r="G52" i="2"/>
  <c r="G44" i="2"/>
  <c r="G36" i="2"/>
  <c r="G28" i="2"/>
  <c r="G12" i="2"/>
  <c r="G50" i="2"/>
  <c r="G26" i="2"/>
  <c r="G49" i="2"/>
  <c r="G33" i="2"/>
  <c r="G25" i="2"/>
  <c r="G32" i="2"/>
  <c r="G46" i="2"/>
  <c r="R71" i="2"/>
  <c r="R63" i="2"/>
  <c r="R47" i="2"/>
  <c r="R39" i="2"/>
  <c r="R31" i="2"/>
  <c r="Q55" i="2"/>
  <c r="R55" i="2" s="1"/>
  <c r="Q32" i="2"/>
  <c r="R32" i="2" s="1"/>
  <c r="G51" i="2"/>
  <c r="G43" i="2"/>
  <c r="G27" i="2"/>
  <c r="G19" i="2"/>
  <c r="G11" i="2"/>
  <c r="R70" i="2"/>
  <c r="R62" i="2"/>
  <c r="R54" i="2"/>
  <c r="R46" i="2"/>
  <c r="R38" i="2"/>
  <c r="Q67" i="2"/>
  <c r="R67" i="2" s="1"/>
  <c r="Q59" i="2"/>
  <c r="R59" i="2" s="1"/>
  <c r="Q51" i="2"/>
  <c r="R51" i="2" s="1"/>
  <c r="Q43" i="2"/>
  <c r="R43" i="2" s="1"/>
  <c r="Q35" i="2"/>
  <c r="R35" i="2" s="1"/>
  <c r="R69" i="2"/>
  <c r="R61" i="2"/>
  <c r="R53" i="2"/>
  <c r="R45" i="2"/>
  <c r="R37" i="2"/>
</calcChain>
</file>

<file path=xl/sharedStrings.xml><?xml version="1.0" encoding="utf-8"?>
<sst xmlns="http://schemas.openxmlformats.org/spreadsheetml/2006/main" count="447" uniqueCount="178">
  <si>
    <t>Roll No.</t>
  </si>
  <si>
    <t>ENG</t>
  </si>
  <si>
    <t>HINDI</t>
  </si>
  <si>
    <t xml:space="preserve">SCIENCE </t>
  </si>
  <si>
    <t>MATHS</t>
  </si>
  <si>
    <t>SO. SCI</t>
  </si>
  <si>
    <t>GRADE</t>
  </si>
  <si>
    <t>Marks</t>
  </si>
  <si>
    <t>Grades</t>
  </si>
  <si>
    <t>S. NO.</t>
  </si>
  <si>
    <t>Name</t>
  </si>
  <si>
    <t>Sale</t>
  </si>
  <si>
    <t>Bonus</t>
  </si>
  <si>
    <t>Deep</t>
  </si>
  <si>
    <t>Jayesh</t>
  </si>
  <si>
    <t>Yash</t>
  </si>
  <si>
    <t>Sara</t>
  </si>
  <si>
    <t>Gita</t>
  </si>
  <si>
    <t>Jinal</t>
  </si>
  <si>
    <t>Kavita</t>
  </si>
  <si>
    <t>Minal</t>
  </si>
  <si>
    <t>Naresh</t>
  </si>
  <si>
    <t>Rima</t>
  </si>
  <si>
    <t>Sales</t>
  </si>
  <si>
    <t xml:space="preserve"> Assignment Question NO. 2:  To calculate Bonus using VLOOKUP</t>
  </si>
  <si>
    <t xml:space="preserve"> Assignment Question NO. 1:  To calculate GRADES using HLOOKUPS</t>
  </si>
  <si>
    <t>Bonus Added</t>
  </si>
  <si>
    <t>Assignment Question NO. 3: To calculate RATE using LOOKUP</t>
  </si>
  <si>
    <t>No. of Units</t>
  </si>
  <si>
    <t>Rate</t>
  </si>
  <si>
    <t>Bill Amount</t>
  </si>
  <si>
    <t>Serial NO.</t>
  </si>
  <si>
    <t xml:space="preserve"> Assignment Question NO. 1: To Calculate AVERAGE, find RESULT and GRADE</t>
  </si>
  <si>
    <t>Roll  No.</t>
  </si>
  <si>
    <t>SUB1</t>
  </si>
  <si>
    <t>SUB2</t>
  </si>
  <si>
    <t>AVERAGE</t>
  </si>
  <si>
    <t>RESULT</t>
  </si>
  <si>
    <t>60=&lt;</t>
  </si>
  <si>
    <t xml:space="preserve">50=&lt; 60 </t>
  </si>
  <si>
    <t>40=&lt;50</t>
  </si>
  <si>
    <t>&lt;40</t>
  </si>
  <si>
    <t>I</t>
  </si>
  <si>
    <t>II</t>
  </si>
  <si>
    <t>III</t>
  </si>
  <si>
    <t>IV</t>
  </si>
  <si>
    <t>Assignment Question NO. 2: To Calculate commission</t>
  </si>
  <si>
    <t>Serial No.</t>
  </si>
  <si>
    <t>NAME</t>
  </si>
  <si>
    <t>SALE</t>
  </si>
  <si>
    <t>COMMISSION</t>
  </si>
  <si>
    <t>TAXABLE INCOME</t>
  </si>
  <si>
    <t>INCOME     TAX</t>
  </si>
  <si>
    <t>SURCHARGE</t>
  </si>
  <si>
    <t>TOTAL TAX</t>
  </si>
  <si>
    <t>SALES</t>
  </si>
  <si>
    <t>40000+</t>
  </si>
  <si>
    <t>INCOME TAX</t>
  </si>
  <si>
    <t>Excess</t>
  </si>
  <si>
    <t xml:space="preserve">Assignment Question NO. 3: To Calculate Income Tax Surcharge and Total Tax </t>
  </si>
  <si>
    <t>Aryan Sharma</t>
  </si>
  <si>
    <t>Priya Mehta</t>
  </si>
  <si>
    <t>Kunal Verma</t>
  </si>
  <si>
    <t>Sneha Joshi</t>
  </si>
  <si>
    <t>Ravi Kumar</t>
  </si>
  <si>
    <t>Aisha Khan</t>
  </si>
  <si>
    <t>Rohit Sen</t>
  </si>
  <si>
    <t>Nisha Patel</t>
  </si>
  <si>
    <t>Aman Gupta</t>
  </si>
  <si>
    <t>Meera Nair</t>
  </si>
  <si>
    <t>Aarav Sharma</t>
  </si>
  <si>
    <t>Aanya Mehta</t>
  </si>
  <si>
    <t>Vivaan Kapoor</t>
  </si>
  <si>
    <t>Diya Joshi</t>
  </si>
  <si>
    <t>Advik Sinha</t>
  </si>
  <si>
    <t>Ishita Bansal</t>
  </si>
  <si>
    <t>Reyansh Verma</t>
  </si>
  <si>
    <t>Anika Rathi</t>
  </si>
  <si>
    <t>Krish Malhotra</t>
  </si>
  <si>
    <t>Meher Jain</t>
  </si>
  <si>
    <t>Daksh Rana</t>
  </si>
  <si>
    <t>Anvi Kaushik</t>
  </si>
  <si>
    <t>Atharv Gupta</t>
  </si>
  <si>
    <t>Myra Kapoor</t>
  </si>
  <si>
    <t>Yuvraj Bedi</t>
  </si>
  <si>
    <t>Aarohi Sehgal</t>
  </si>
  <si>
    <t>Arjun Kohli</t>
  </si>
  <si>
    <t>Kiara Nanda</t>
  </si>
  <si>
    <t>Kabir Sood</t>
  </si>
  <si>
    <t>Naira Luthra</t>
  </si>
  <si>
    <t>Vihaan Reddy</t>
  </si>
  <si>
    <t>Riya Thakur</t>
  </si>
  <si>
    <t>Shaurya Yadav</t>
  </si>
  <si>
    <t>Trisha Saxena</t>
  </si>
  <si>
    <t>Arnav Menon</t>
  </si>
  <si>
    <t>Saanvi Das</t>
  </si>
  <si>
    <t>Rohan Bhatia</t>
  </si>
  <si>
    <t>Tisha Roy</t>
  </si>
  <si>
    <t>Pranav Iyer</t>
  </si>
  <si>
    <t>Neha Tripathi</t>
  </si>
  <si>
    <t>Laksh Khanna</t>
  </si>
  <si>
    <t>Aayushi Dube</t>
  </si>
  <si>
    <t>Karthik Rao</t>
  </si>
  <si>
    <t>Riddhi Agarwal</t>
  </si>
  <si>
    <t>Om Sharma</t>
  </si>
  <si>
    <t>Sanika Singh</t>
  </si>
  <si>
    <t>Dev Tyagi</t>
  </si>
  <si>
    <t>Tara Bhalla</t>
  </si>
  <si>
    <t>Nikhil Awasthi</t>
  </si>
  <si>
    <t>Pihu Jain</t>
  </si>
  <si>
    <t>Aditya Goel</t>
  </si>
  <si>
    <t>Roshni Paul</t>
  </si>
  <si>
    <t>Aviral Saxena</t>
  </si>
  <si>
    <t>Zara Qureshi</t>
  </si>
  <si>
    <t>Rudra Dey</t>
  </si>
  <si>
    <t>Vanya Kapoor</t>
  </si>
  <si>
    <t>Yash Singh</t>
  </si>
  <si>
    <t>Anaya Bansal</t>
  </si>
  <si>
    <t>Harshit Vats</t>
  </si>
  <si>
    <t>Tanishq Kohli</t>
  </si>
  <si>
    <t>M</t>
  </si>
  <si>
    <t>FY</t>
  </si>
  <si>
    <t>Open</t>
  </si>
  <si>
    <t>SY</t>
  </si>
  <si>
    <t>Reserved</t>
  </si>
  <si>
    <t>TY</t>
  </si>
  <si>
    <t>F</t>
  </si>
  <si>
    <t>Karan</t>
  </si>
  <si>
    <t>Abhay</t>
  </si>
  <si>
    <t>Bina</t>
  </si>
  <si>
    <t>Seema</t>
  </si>
  <si>
    <t>Gajendra</t>
  </si>
  <si>
    <t>GENDER</t>
  </si>
  <si>
    <t>CLASS</t>
  </si>
  <si>
    <t>CATEGORY</t>
  </si>
  <si>
    <t>FEES</t>
  </si>
  <si>
    <t xml:space="preserve"> Assignment Question NO. 1: To Filtering the worksheet.</t>
  </si>
  <si>
    <t xml:space="preserve">Assignment Question NO. 2: To Calculate Total Marks </t>
  </si>
  <si>
    <t>SUB 1</t>
  </si>
  <si>
    <t>SUB 2</t>
  </si>
  <si>
    <t>SUB 3</t>
  </si>
  <si>
    <t>TOTAL MARKS</t>
  </si>
  <si>
    <t>1. a) Female students from Reserved category</t>
  </si>
  <si>
    <t>1.  b) Male students from TY</t>
  </si>
  <si>
    <t>1. c) Open category students with Fees &gt; 3000</t>
  </si>
  <si>
    <t>2. (a) Construct 3D Pie Chart for Total marks</t>
  </si>
  <si>
    <t>2. (b) 2D Line Chart for Subject 1 and Subject 3</t>
  </si>
  <si>
    <t>2. (c) 2D Column Chart for Sub1, Sub2, Sub3</t>
  </si>
  <si>
    <t>2. (d) 2D Stacked Column Chart  for Sub1,Sub2,Sub3</t>
  </si>
  <si>
    <t>$D$5</t>
  </si>
  <si>
    <t>$D$6</t>
  </si>
  <si>
    <t>$D$7</t>
  </si>
  <si>
    <t>$D$8</t>
  </si>
  <si>
    <t>$D$9</t>
  </si>
  <si>
    <t>$D$10</t>
  </si>
  <si>
    <t>$D$11</t>
  </si>
  <si>
    <t>$D$12</t>
  </si>
  <si>
    <t>Current Express</t>
  </si>
  <si>
    <t xml:space="preserve"> Increase in carriage and office equipment</t>
  </si>
  <si>
    <t>Scenario Summary</t>
  </si>
  <si>
    <t>Changing Cells:</t>
  </si>
  <si>
    <t>Current Values:</t>
  </si>
  <si>
    <t>Result Cells:</t>
  </si>
  <si>
    <t>Assignment Question No.1: To prepare scenarios</t>
  </si>
  <si>
    <t>ADVT</t>
  </si>
  <si>
    <t>CP</t>
  </si>
  <si>
    <t>SP</t>
  </si>
  <si>
    <t>PROFIT</t>
  </si>
  <si>
    <t>Assignment Question No.2: To Find CP to Reach Profit of 20000</t>
  </si>
  <si>
    <t>Assignment Question No.3: To Maximize Profit Using Solver</t>
  </si>
  <si>
    <t>created. Changing cells for each scenario are highlighted in gray.</t>
  </si>
  <si>
    <t>Notes:- Current Values column represents values of changing cells at time Scenario Summary Report was</t>
  </si>
  <si>
    <t>H</t>
  </si>
  <si>
    <t>Customer No.</t>
  </si>
  <si>
    <t xml:space="preserve">EXCEL PRACTICAL -1 </t>
  </si>
  <si>
    <t>EXCEL PRACTICAL-4</t>
  </si>
  <si>
    <t>EXCEL PRACTICAL-1</t>
  </si>
  <si>
    <t>EXCEL PRACTICAL-2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</si>
</sst>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theme="1"/>
      <name val="Arial Unicode MS"/>
    </font>
    <font>
      <b/>
      <u/>
      <sz val="2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Arial"/>
      <family val="2"/>
    </font>
    <font>
      <b/>
      <u/>
      <sz val="1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00CC"/>
        <bgColor indexed="24"/>
      </patternFill>
    </fill>
    <fill>
      <patternFill patternType="solid">
        <fgColor rgb="FFCC00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4" borderId="0" xfId="0" applyFill="1"/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6" fontId="0" fillId="6" borderId="1" xfId="0" applyNumberFormat="1" applyFill="1" applyBorder="1" applyAlignment="1">
      <alignment vertical="center" wrapText="1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8" borderId="0" xfId="0" applyFill="1" applyAlignment="1"/>
    <xf numFmtId="0" fontId="1" fillId="10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0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68C0CA-8A50-423C-A5A2-00C6C3A36E4A}"/>
  </tableStyles>
  <colors>
    <mruColors>
      <color rgb="FFCC3399"/>
      <color rgb="FFD60093"/>
      <color rgb="FFFF6699"/>
      <color rgb="FFFF3399"/>
      <color rgb="FF990099"/>
      <color rgb="FF80008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3D PIE CHART FOR TOTAL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'EXCEL PRACTICAL-3'!$P$6</c:f>
              <c:strCache>
                <c:ptCount val="1"/>
                <c:pt idx="0">
                  <c:v>TOTAL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47F-4812-9F65-4E9EFC775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47F-4812-9F65-4E9EFC775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47F-4812-9F65-4E9EFC7750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47F-4812-9F65-4E9EFC7750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47F-4812-9F65-4E9EFC7750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47F-4812-9F65-4E9EFC7750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47F-4812-9F65-4E9EFC7750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47F-4812-9F65-4E9EFC7750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447F-4812-9F65-4E9EFC7750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47F-4812-9F65-4E9EFC7750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47F-4812-9F65-4E9EFC7750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47F-4812-9F65-4E9EFC7750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47F-4812-9F65-4E9EFC7750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47F-4812-9F65-4E9EFC7750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47F-4812-9F65-4E9EFC7750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47F-4812-9F65-4E9EFC7750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47F-4812-9F65-4E9EFC7750C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47F-4812-9F65-4E9EFC7750C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47F-4812-9F65-4E9EFC7750C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47F-4812-9F65-4E9EFC7750CB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PRACTICAL-3'!$P$7:$P$16</c:f>
              <c:numCache>
                <c:formatCode>General</c:formatCode>
                <c:ptCount val="10"/>
                <c:pt idx="0">
                  <c:v>108</c:v>
                </c:pt>
                <c:pt idx="1">
                  <c:v>120</c:v>
                </c:pt>
                <c:pt idx="2">
                  <c:v>128</c:v>
                </c:pt>
                <c:pt idx="3">
                  <c:v>130</c:v>
                </c:pt>
                <c:pt idx="4">
                  <c:v>110</c:v>
                </c:pt>
                <c:pt idx="5">
                  <c:v>100</c:v>
                </c:pt>
                <c:pt idx="6">
                  <c:v>102</c:v>
                </c:pt>
                <c:pt idx="7">
                  <c:v>88</c:v>
                </c:pt>
                <c:pt idx="8">
                  <c:v>120</c:v>
                </c:pt>
                <c:pt idx="9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0-49B0-AFCB-20ACCDAF444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FOR SUBJECT 1 AND 3 </a:t>
            </a:r>
          </a:p>
        </c:rich>
      </c:tx>
      <c:layout>
        <c:manualLayout>
          <c:xMode val="edge"/>
          <c:yMode val="edge"/>
          <c:x val="0.2400485564304462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17103830167187E-2"/>
          <c:y val="0.21847894097015277"/>
          <c:w val="0.8861158458701518"/>
          <c:h val="0.51012541216162621"/>
        </c:manualLayout>
      </c:layout>
      <c:lineChart>
        <c:grouping val="standard"/>
        <c:varyColors val="0"/>
        <c:ser>
          <c:idx val="0"/>
          <c:order val="0"/>
          <c:tx>
            <c:strRef>
              <c:f>'EXCEL PRACTICAL-3'!$M$6</c:f>
              <c:strCache>
                <c:ptCount val="1"/>
                <c:pt idx="0">
                  <c:v>SUB 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PRACTICAL-3'!$M$7:$M$16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4-4FBA-8197-D4D97E50A9D5}"/>
            </c:ext>
          </c:extLst>
        </c:ser>
        <c:ser>
          <c:idx val="1"/>
          <c:order val="1"/>
          <c:tx>
            <c:strRef>
              <c:f>'EXCEL PRACTICAL-3'!$O$6</c:f>
              <c:strCache>
                <c:ptCount val="1"/>
                <c:pt idx="0">
                  <c:v>SUB 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PRACTICAL-3'!$O$7:$O$16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4-4FBA-8197-D4D97E50A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986095"/>
        <c:axId val="2064986575"/>
      </c:lineChart>
      <c:catAx>
        <c:axId val="2064986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6575"/>
        <c:crosses val="autoZero"/>
        <c:auto val="1"/>
        <c:lblAlgn val="ctr"/>
        <c:lblOffset val="100"/>
        <c:noMultiLvlLbl val="0"/>
      </c:catAx>
      <c:valAx>
        <c:axId val="2064986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CHART FOR SUBJECT 1, 2 AND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PRACTICAL-3'!$M$6</c:f>
              <c:strCache>
                <c:ptCount val="1"/>
                <c:pt idx="0">
                  <c:v>SUB 1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PRACTICAL-3'!$M$7:$M$16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4-4C9F-ACD2-08D28C0F7C53}"/>
            </c:ext>
          </c:extLst>
        </c:ser>
        <c:ser>
          <c:idx val="1"/>
          <c:order val="1"/>
          <c:tx>
            <c:strRef>
              <c:f>'EXCEL PRACTICAL-3'!$N$6</c:f>
              <c:strCache>
                <c:ptCount val="1"/>
                <c:pt idx="0">
                  <c:v>SUB 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PRACTICAL-3'!$N$7:$N$16</c:f>
              <c:numCache>
                <c:formatCode>General</c:formatCode>
                <c:ptCount val="10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4-4C9F-ACD2-08D28C0F7C53}"/>
            </c:ext>
          </c:extLst>
        </c:ser>
        <c:ser>
          <c:idx val="2"/>
          <c:order val="2"/>
          <c:tx>
            <c:strRef>
              <c:f>'EXCEL PRACTICAL-3'!$O$6</c:f>
              <c:strCache>
                <c:ptCount val="1"/>
                <c:pt idx="0">
                  <c:v>SUB 3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PRACTICAL-3'!$O$7:$O$16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4-4C9F-ACD2-08D28C0F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64981295"/>
        <c:axId val="2064966895"/>
      </c:barChart>
      <c:catAx>
        <c:axId val="20649812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66895"/>
        <c:crosses val="autoZero"/>
        <c:auto val="1"/>
        <c:lblAlgn val="ctr"/>
        <c:lblOffset val="100"/>
        <c:noMultiLvlLbl val="0"/>
      </c:catAx>
      <c:valAx>
        <c:axId val="20649668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STACKED COLUMN CHART FOR SUBJECT 1, 2 and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'EXCEL PRACTICAL-3'!$M$6</c:f>
              <c:strCache>
                <c:ptCount val="1"/>
                <c:pt idx="0">
                  <c:v>SUB 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PRACTICAL-3'!$M$7:$M$16</c:f>
              <c:numCache>
                <c:formatCode>General</c:formatCode>
                <c:ptCount val="10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48</c:v>
                </c:pt>
                <c:pt idx="4">
                  <c:v>35</c:v>
                </c:pt>
                <c:pt idx="5">
                  <c:v>32</c:v>
                </c:pt>
                <c:pt idx="6">
                  <c:v>36</c:v>
                </c:pt>
                <c:pt idx="7">
                  <c:v>23</c:v>
                </c:pt>
                <c:pt idx="8">
                  <c:v>43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A-4FE0-A76C-65F1EBA7B843}"/>
            </c:ext>
          </c:extLst>
        </c:ser>
        <c:ser>
          <c:idx val="1"/>
          <c:order val="1"/>
          <c:tx>
            <c:strRef>
              <c:f>'EXCEL PRACTICAL-3'!$N$6</c:f>
              <c:strCache>
                <c:ptCount val="1"/>
                <c:pt idx="0">
                  <c:v>SUB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PRACTICAL-3'!$N$7:$N$16</c:f>
              <c:numCache>
                <c:formatCode>General</c:formatCode>
                <c:ptCount val="10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A-4FE0-A76C-65F1EBA7B843}"/>
            </c:ext>
          </c:extLst>
        </c:ser>
        <c:ser>
          <c:idx val="2"/>
          <c:order val="2"/>
          <c:tx>
            <c:strRef>
              <c:f>'EXCEL PRACTICAL-3'!$O$6</c:f>
              <c:strCache>
                <c:ptCount val="1"/>
                <c:pt idx="0">
                  <c:v>SUB 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'EXCEL PRACTICAL-3'!$L$7:$L$16</c:f>
              <c:strCache>
                <c:ptCount val="10"/>
                <c:pt idx="0">
                  <c:v>Deep</c:v>
                </c:pt>
                <c:pt idx="1">
                  <c:v>Jayesh</c:v>
                </c:pt>
                <c:pt idx="2">
                  <c:v>Yash</c:v>
                </c:pt>
                <c:pt idx="3">
                  <c:v>Sara</c:v>
                </c:pt>
                <c:pt idx="4">
                  <c:v>Gita</c:v>
                </c:pt>
                <c:pt idx="5">
                  <c:v>Jinal</c:v>
                </c:pt>
                <c:pt idx="6">
                  <c:v>Kavita</c:v>
                </c:pt>
                <c:pt idx="7">
                  <c:v>Minal</c:v>
                </c:pt>
                <c:pt idx="8">
                  <c:v>Naresh</c:v>
                </c:pt>
                <c:pt idx="9">
                  <c:v>Rima</c:v>
                </c:pt>
              </c:strCache>
            </c:strRef>
          </c:cat>
          <c:val>
            <c:numRef>
              <c:f>'EXCEL PRACTICAL-3'!$O$7:$O$16</c:f>
              <c:numCache>
                <c:formatCode>General</c:formatCode>
                <c:ptCount val="10"/>
                <c:pt idx="0">
                  <c:v>44</c:v>
                </c:pt>
                <c:pt idx="1">
                  <c:v>45</c:v>
                </c:pt>
                <c:pt idx="2">
                  <c:v>47</c:v>
                </c:pt>
                <c:pt idx="3">
                  <c:v>50</c:v>
                </c:pt>
                <c:pt idx="4">
                  <c:v>43</c:v>
                </c:pt>
                <c:pt idx="5">
                  <c:v>37</c:v>
                </c:pt>
                <c:pt idx="6">
                  <c:v>38</c:v>
                </c:pt>
                <c:pt idx="7">
                  <c:v>40</c:v>
                </c:pt>
                <c:pt idx="8">
                  <c:v>50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8A-4FE0-A76C-65F1EBA7B8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0994895"/>
        <c:axId val="500996815"/>
      </c:barChart>
      <c:catAx>
        <c:axId val="50099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96815"/>
        <c:crosses val="autoZero"/>
        <c:auto val="1"/>
        <c:lblAlgn val="ctr"/>
        <c:lblOffset val="100"/>
        <c:noMultiLvlLbl val="0"/>
      </c:catAx>
      <c:valAx>
        <c:axId val="5009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9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6723</xdr:rowOff>
    </xdr:from>
    <xdr:to>
      <xdr:col>16</xdr:col>
      <xdr:colOff>67236</xdr:colOff>
      <xdr:row>45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A84B5-1A46-5101-99FE-13AAC27A3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10297</xdr:colOff>
      <xdr:row>52</xdr:row>
      <xdr:rowOff>191453</xdr:rowOff>
    </xdr:from>
    <xdr:to>
      <xdr:col>19</xdr:col>
      <xdr:colOff>2058</xdr:colOff>
      <xdr:row>82</xdr:row>
      <xdr:rowOff>180802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5D076-158D-1122-850A-9B3799661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588818</xdr:colOff>
      <xdr:row>87</xdr:row>
      <xdr:rowOff>167010</xdr:rowOff>
    </xdr:from>
    <xdr:to>
      <xdr:col>17</xdr:col>
      <xdr:colOff>576781</xdr:colOff>
      <xdr:row>103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567081-5066-0063-4DA3-09450084B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16212</xdr:colOff>
      <xdr:row>109</xdr:row>
      <xdr:rowOff>16214</xdr:rowOff>
    </xdr:from>
    <xdr:to>
      <xdr:col>18</xdr:col>
      <xdr:colOff>8107</xdr:colOff>
      <xdr:row>124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192F62-F529-CB7F-D6C1-12FCB45F2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28CC-CD97-414E-88F4-5CD8F95B5BAD}">
  <dimension ref="A1:Q33"/>
  <sheetViews>
    <sheetView zoomScale="80" zoomScaleNormal="80" workbookViewId="0">
      <selection activeCell="K13" sqref="K13"/>
    </sheetView>
  </sheetViews>
  <sheetFormatPr defaultRowHeight="14.4"/>
  <cols>
    <col min="1" max="1" width="8.88671875" style="31" customWidth="1"/>
    <col min="2" max="2" width="13.44140625" style="31" customWidth="1"/>
    <col min="3" max="3" width="12.77734375" style="31" customWidth="1"/>
    <col min="4" max="14" width="10.77734375" style="31" customWidth="1"/>
    <col min="15" max="15" width="12.109375" style="31" customWidth="1"/>
    <col min="16" max="28" width="10.77734375" style="31" customWidth="1"/>
    <col min="29" max="16384" width="8.88671875" style="31"/>
  </cols>
  <sheetData>
    <row r="1" spans="1:17" s="69" customFormat="1">
      <c r="A1" s="67" t="s">
        <v>176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s="69" customForma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s="69" customFormat="1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17" s="69" customForma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7" ht="15" thickBot="1"/>
    <row r="6" spans="1:17" ht="15" thickBot="1">
      <c r="B6" s="70" t="s">
        <v>25</v>
      </c>
      <c r="C6" s="70"/>
      <c r="D6" s="70"/>
      <c r="E6" s="70"/>
      <c r="F6" s="70"/>
      <c r="G6" s="70"/>
      <c r="I6" s="70" t="s">
        <v>24</v>
      </c>
      <c r="J6" s="70"/>
      <c r="K6" s="70"/>
      <c r="L6" s="70"/>
      <c r="M6" s="70"/>
      <c r="N6" s="70"/>
      <c r="O6" s="70"/>
    </row>
    <row r="7" spans="1:17" ht="15" thickBot="1">
      <c r="B7" s="71" t="s">
        <v>0</v>
      </c>
      <c r="C7" s="71" t="s">
        <v>1</v>
      </c>
      <c r="D7" s="71" t="s">
        <v>2</v>
      </c>
      <c r="E7" s="71" t="s">
        <v>3</v>
      </c>
      <c r="F7" s="71" t="s">
        <v>4</v>
      </c>
      <c r="G7" s="71" t="s">
        <v>5</v>
      </c>
      <c r="I7" s="71" t="s">
        <v>9</v>
      </c>
      <c r="J7" s="71" t="s">
        <v>10</v>
      </c>
      <c r="K7" s="71" t="s">
        <v>11</v>
      </c>
      <c r="L7" s="71" t="s">
        <v>12</v>
      </c>
      <c r="M7" s="28"/>
      <c r="N7" s="71" t="s">
        <v>23</v>
      </c>
      <c r="O7" s="71" t="s">
        <v>26</v>
      </c>
    </row>
    <row r="8" spans="1:17" ht="15" thickBot="1">
      <c r="B8" s="32">
        <v>110</v>
      </c>
      <c r="C8" s="32">
        <v>45</v>
      </c>
      <c r="D8" s="32">
        <v>56</v>
      </c>
      <c r="E8" s="32">
        <v>67</v>
      </c>
      <c r="F8" s="32">
        <v>78</v>
      </c>
      <c r="G8" s="32">
        <v>60</v>
      </c>
      <c r="I8" s="32">
        <v>1</v>
      </c>
      <c r="J8" s="32" t="s">
        <v>13</v>
      </c>
      <c r="K8" s="32">
        <v>30000</v>
      </c>
      <c r="L8" s="32">
        <f>VLOOKUP(K8,$N$8:$O$14, 2)</f>
        <v>3000</v>
      </c>
      <c r="N8" s="32">
        <v>20000</v>
      </c>
      <c r="O8" s="32">
        <v>2000</v>
      </c>
    </row>
    <row r="9" spans="1:17" ht="15" thickBot="1">
      <c r="B9" s="71" t="s">
        <v>6</v>
      </c>
      <c r="C9" s="32">
        <f>HLOOKUP(C8, $C$12:$F$13, 2)</f>
        <v>3</v>
      </c>
      <c r="D9" s="26">
        <f t="shared" ref="D9:G9" si="0">HLOOKUP(D8, $C$12:$F$13, 2)</f>
        <v>2</v>
      </c>
      <c r="E9" s="26">
        <f t="shared" si="0"/>
        <v>1</v>
      </c>
      <c r="F9" s="25">
        <f t="shared" si="0"/>
        <v>1</v>
      </c>
      <c r="G9" s="26">
        <f t="shared" si="0"/>
        <v>1</v>
      </c>
      <c r="I9" s="32">
        <v>2</v>
      </c>
      <c r="J9" s="32" t="s">
        <v>14</v>
      </c>
      <c r="K9" s="32">
        <v>40000</v>
      </c>
      <c r="L9" s="32">
        <f t="shared" ref="L9:L17" si="1">VLOOKUP(K9,$N$8:$O$14, 2)</f>
        <v>4000</v>
      </c>
      <c r="N9" s="32">
        <v>30000</v>
      </c>
      <c r="O9" s="32">
        <v>3000</v>
      </c>
    </row>
    <row r="10" spans="1:17" ht="15" thickBot="1">
      <c r="B10" s="41"/>
      <c r="F10" s="41"/>
      <c r="G10" s="41"/>
      <c r="I10" s="32">
        <v>3</v>
      </c>
      <c r="J10" s="32" t="s">
        <v>15</v>
      </c>
      <c r="K10" s="32">
        <v>45000</v>
      </c>
      <c r="L10" s="32">
        <f t="shared" si="1"/>
        <v>4000</v>
      </c>
      <c r="N10" s="32">
        <v>40000</v>
      </c>
      <c r="O10" s="32">
        <v>4000</v>
      </c>
    </row>
    <row r="11" spans="1:17" ht="15" thickBot="1">
      <c r="B11" s="42"/>
      <c r="F11" s="42"/>
      <c r="I11" s="32">
        <v>4</v>
      </c>
      <c r="J11" s="32" t="s">
        <v>16</v>
      </c>
      <c r="K11" s="32">
        <v>48000</v>
      </c>
      <c r="L11" s="32">
        <f t="shared" si="1"/>
        <v>4000</v>
      </c>
      <c r="N11" s="32">
        <v>50000</v>
      </c>
      <c r="O11" s="32">
        <v>5000</v>
      </c>
    </row>
    <row r="12" spans="1:17" ht="15" thickBot="1">
      <c r="B12" s="71" t="s">
        <v>7</v>
      </c>
      <c r="C12" s="32">
        <v>0</v>
      </c>
      <c r="D12" s="32">
        <v>40</v>
      </c>
      <c r="E12" s="32">
        <v>50</v>
      </c>
      <c r="F12" s="32">
        <v>60</v>
      </c>
      <c r="I12" s="32">
        <v>5</v>
      </c>
      <c r="J12" s="32" t="s">
        <v>17</v>
      </c>
      <c r="K12" s="32">
        <v>55000</v>
      </c>
      <c r="L12" s="32">
        <f t="shared" si="1"/>
        <v>5000</v>
      </c>
      <c r="N12" s="32">
        <v>60000</v>
      </c>
      <c r="O12" s="32">
        <v>6000</v>
      </c>
    </row>
    <row r="13" spans="1:17" ht="15" thickBot="1">
      <c r="B13" s="71" t="s">
        <v>8</v>
      </c>
      <c r="C13" s="32">
        <v>0</v>
      </c>
      <c r="D13" s="32">
        <v>3</v>
      </c>
      <c r="E13" s="32">
        <v>2</v>
      </c>
      <c r="F13" s="32">
        <v>1</v>
      </c>
      <c r="I13" s="32">
        <v>6</v>
      </c>
      <c r="J13" s="32" t="s">
        <v>18</v>
      </c>
      <c r="K13" s="32">
        <v>32000</v>
      </c>
      <c r="L13" s="32">
        <f t="shared" si="1"/>
        <v>3000</v>
      </c>
      <c r="N13" s="32">
        <v>70000</v>
      </c>
      <c r="O13" s="32">
        <v>7000</v>
      </c>
    </row>
    <row r="14" spans="1:17" ht="15" thickBot="1">
      <c r="I14" s="32">
        <v>7</v>
      </c>
      <c r="J14" s="32" t="s">
        <v>19</v>
      </c>
      <c r="K14" s="32">
        <v>66000</v>
      </c>
      <c r="L14" s="32">
        <f t="shared" si="1"/>
        <v>6000</v>
      </c>
      <c r="N14" s="32">
        <v>80000</v>
      </c>
      <c r="O14" s="32">
        <v>8000</v>
      </c>
    </row>
    <row r="15" spans="1:17" ht="15" thickBot="1">
      <c r="I15" s="32">
        <v>8</v>
      </c>
      <c r="J15" s="32" t="s">
        <v>20</v>
      </c>
      <c r="K15" s="32">
        <v>23000</v>
      </c>
      <c r="L15" s="32">
        <f t="shared" si="1"/>
        <v>2000</v>
      </c>
    </row>
    <row r="16" spans="1:17" ht="15" thickBot="1">
      <c r="I16" s="32">
        <v>9</v>
      </c>
      <c r="J16" s="32" t="s">
        <v>21</v>
      </c>
      <c r="K16" s="32">
        <v>43000</v>
      </c>
      <c r="L16" s="32">
        <f t="shared" si="1"/>
        <v>4000</v>
      </c>
    </row>
    <row r="17" spans="2:12" ht="15" thickBot="1">
      <c r="I17" s="32">
        <v>10</v>
      </c>
      <c r="J17" s="32" t="s">
        <v>22</v>
      </c>
      <c r="K17" s="32">
        <v>37000</v>
      </c>
      <c r="L17" s="32">
        <f t="shared" si="1"/>
        <v>3000</v>
      </c>
    </row>
    <row r="21" spans="2:12" ht="15" thickBot="1"/>
    <row r="22" spans="2:12" ht="15" thickBot="1">
      <c r="B22" s="70" t="s">
        <v>27</v>
      </c>
      <c r="C22" s="70"/>
      <c r="D22" s="70"/>
      <c r="E22" s="70"/>
      <c r="F22" s="70"/>
      <c r="G22" s="70"/>
      <c r="H22" s="70"/>
      <c r="I22" s="70"/>
      <c r="J22" s="43"/>
    </row>
    <row r="23" spans="2:12" ht="15" customHeight="1" thickBot="1">
      <c r="B23" s="72" t="s">
        <v>31</v>
      </c>
      <c r="C23" s="71" t="s">
        <v>173</v>
      </c>
      <c r="D23" s="72" t="s">
        <v>28</v>
      </c>
      <c r="E23" s="72" t="s">
        <v>29</v>
      </c>
      <c r="F23" s="72" t="s">
        <v>30</v>
      </c>
      <c r="G23" s="44"/>
      <c r="H23" s="72" t="s">
        <v>172</v>
      </c>
      <c r="I23" s="72" t="s">
        <v>42</v>
      </c>
      <c r="J23" s="45"/>
    </row>
    <row r="24" spans="2:12" ht="15" thickBot="1">
      <c r="B24" s="32">
        <v>1</v>
      </c>
      <c r="C24" s="32">
        <v>1101</v>
      </c>
      <c r="D24" s="32">
        <v>340</v>
      </c>
      <c r="E24" s="26">
        <f>LOOKUP(D24, $H$24:$H$26, $I$24:$I$26)</f>
        <v>6</v>
      </c>
      <c r="F24" s="40">
        <f>D24*E24</f>
        <v>2040</v>
      </c>
      <c r="H24" s="32">
        <v>0</v>
      </c>
      <c r="I24" s="32">
        <v>3</v>
      </c>
    </row>
    <row r="25" spans="2:12" ht="15" thickBot="1">
      <c r="B25" s="32">
        <v>2</v>
      </c>
      <c r="C25" s="32">
        <v>1102</v>
      </c>
      <c r="D25" s="32">
        <v>180</v>
      </c>
      <c r="E25" s="26">
        <f t="shared" ref="E25:E33" si="2">LOOKUP(D25, $H$24:$H$26, $I$24:$I$26)</f>
        <v>3</v>
      </c>
      <c r="F25" s="40">
        <f t="shared" ref="F25:F33" si="3">D25*E25</f>
        <v>540</v>
      </c>
      <c r="H25" s="32">
        <v>200</v>
      </c>
      <c r="I25" s="32">
        <v>6</v>
      </c>
    </row>
    <row r="26" spans="2:12" ht="15" thickBot="1">
      <c r="B26" s="32">
        <v>3</v>
      </c>
      <c r="C26" s="32">
        <v>1103</v>
      </c>
      <c r="D26" s="32">
        <v>400</v>
      </c>
      <c r="E26" s="26">
        <f t="shared" si="2"/>
        <v>6</v>
      </c>
      <c r="F26" s="40">
        <f t="shared" si="3"/>
        <v>2400</v>
      </c>
      <c r="H26" s="32">
        <v>500</v>
      </c>
      <c r="I26" s="32">
        <v>8</v>
      </c>
    </row>
    <row r="27" spans="2:12" ht="15" thickBot="1">
      <c r="B27" s="32">
        <v>4</v>
      </c>
      <c r="C27" s="32">
        <v>1104</v>
      </c>
      <c r="D27" s="32">
        <v>600</v>
      </c>
      <c r="E27" s="26">
        <f t="shared" si="2"/>
        <v>8</v>
      </c>
      <c r="F27" s="40">
        <f t="shared" si="3"/>
        <v>4800</v>
      </c>
    </row>
    <row r="28" spans="2:12" ht="15" thickBot="1">
      <c r="B28" s="32">
        <v>5</v>
      </c>
      <c r="C28" s="32">
        <v>1105</v>
      </c>
      <c r="D28" s="32">
        <v>350</v>
      </c>
      <c r="E28" s="26">
        <f t="shared" si="2"/>
        <v>6</v>
      </c>
      <c r="F28" s="40">
        <f t="shared" si="3"/>
        <v>2100</v>
      </c>
    </row>
    <row r="29" spans="2:12" ht="15" thickBot="1">
      <c r="B29" s="32">
        <v>6</v>
      </c>
      <c r="C29" s="32">
        <v>1106</v>
      </c>
      <c r="D29" s="32">
        <v>470</v>
      </c>
      <c r="E29" s="26">
        <f t="shared" si="2"/>
        <v>6</v>
      </c>
      <c r="F29" s="40">
        <f t="shared" si="3"/>
        <v>2820</v>
      </c>
    </row>
    <row r="30" spans="2:12" ht="15" thickBot="1">
      <c r="B30" s="32">
        <v>7</v>
      </c>
      <c r="C30" s="32">
        <v>1107</v>
      </c>
      <c r="D30" s="32">
        <v>890</v>
      </c>
      <c r="E30" s="26">
        <f t="shared" si="2"/>
        <v>8</v>
      </c>
      <c r="F30" s="40">
        <f t="shared" si="3"/>
        <v>7120</v>
      </c>
    </row>
    <row r="31" spans="2:12" ht="15" thickBot="1">
      <c r="B31" s="32">
        <v>8</v>
      </c>
      <c r="C31" s="32">
        <v>1108</v>
      </c>
      <c r="D31" s="32">
        <v>200</v>
      </c>
      <c r="E31" s="26">
        <f t="shared" si="2"/>
        <v>6</v>
      </c>
      <c r="F31" s="40">
        <f t="shared" si="3"/>
        <v>1200</v>
      </c>
    </row>
    <row r="32" spans="2:12" ht="15" thickBot="1">
      <c r="B32" s="32">
        <v>9</v>
      </c>
      <c r="C32" s="32">
        <v>1109</v>
      </c>
      <c r="D32" s="32">
        <v>500</v>
      </c>
      <c r="E32" s="26">
        <f t="shared" si="2"/>
        <v>8</v>
      </c>
      <c r="F32" s="40">
        <f t="shared" si="3"/>
        <v>4000</v>
      </c>
    </row>
    <row r="33" spans="2:6" ht="15" thickBot="1">
      <c r="B33" s="32">
        <v>10</v>
      </c>
      <c r="C33" s="32">
        <v>1110</v>
      </c>
      <c r="D33" s="32">
        <v>360</v>
      </c>
      <c r="E33" s="26">
        <f t="shared" si="2"/>
        <v>6</v>
      </c>
      <c r="F33" s="40">
        <f t="shared" si="3"/>
        <v>2160</v>
      </c>
    </row>
  </sheetData>
  <customSheetViews>
    <customSheetView guid="{8FE9C7E0-3B4A-4089-940B-F6B542D91A57}" scale="69">
      <selection sqref="A1:Q39"/>
      <pageMargins left="0.7" right="0.7" top="0.75" bottom="0.75" header="0.3" footer="0.3"/>
      <pageSetup orientation="portrait" r:id="rId1"/>
    </customSheetView>
  </customSheetViews>
  <mergeCells count="4">
    <mergeCell ref="B6:G6"/>
    <mergeCell ref="I6:O6"/>
    <mergeCell ref="B22:I22"/>
    <mergeCell ref="A1:Q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6F91-B88F-417E-BD99-A90B8A0A438C}">
  <dimension ref="A1:W72"/>
  <sheetViews>
    <sheetView zoomScale="70" zoomScaleNormal="70" workbookViewId="0">
      <selection activeCell="H15" sqref="H15"/>
    </sheetView>
  </sheetViews>
  <sheetFormatPr defaultRowHeight="14.4"/>
  <cols>
    <col min="1" max="8" width="8.88671875" style="31"/>
    <col min="9" max="9" width="9.77734375" style="31" customWidth="1"/>
    <col min="10" max="12" width="8.88671875" style="31"/>
    <col min="13" max="18" width="15.77734375" style="31" customWidth="1"/>
    <col min="19" max="19" width="12.88671875" style="31" customWidth="1"/>
    <col min="20" max="20" width="16" style="31" customWidth="1"/>
    <col min="21" max="21" width="14.5546875" style="31" customWidth="1"/>
    <col min="22" max="22" width="13.77734375" style="31" customWidth="1"/>
    <col min="23" max="16384" width="8.88671875" style="31"/>
  </cols>
  <sheetData>
    <row r="1" spans="1:23" s="73" customFormat="1">
      <c r="A1" s="82" t="s">
        <v>177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 spans="1:23" s="73" customForma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</row>
    <row r="3" spans="1:23" s="73" customForma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3" ht="15" thickBot="1"/>
    <row r="5" spans="1:23" ht="15" thickBot="1">
      <c r="B5" s="78" t="s">
        <v>32</v>
      </c>
      <c r="C5" s="78"/>
      <c r="D5" s="78"/>
      <c r="E5" s="78"/>
      <c r="F5" s="78"/>
      <c r="G5" s="78"/>
      <c r="H5" s="78"/>
      <c r="I5" s="78"/>
      <c r="J5" s="78"/>
      <c r="M5" s="78" t="s">
        <v>46</v>
      </c>
      <c r="N5" s="78"/>
      <c r="O5" s="78"/>
      <c r="P5" s="78"/>
      <c r="Q5" s="78"/>
      <c r="R5" s="78"/>
      <c r="S5" s="78"/>
    </row>
    <row r="6" spans="1:23" ht="15" customHeight="1" thickBot="1">
      <c r="B6" s="74" t="s">
        <v>33</v>
      </c>
      <c r="C6" s="74" t="s">
        <v>34</v>
      </c>
      <c r="D6" s="74" t="s">
        <v>35</v>
      </c>
      <c r="E6" s="74" t="s">
        <v>36</v>
      </c>
      <c r="F6" s="74" t="s">
        <v>37</v>
      </c>
      <c r="G6" s="74" t="s">
        <v>6</v>
      </c>
      <c r="H6" s="37"/>
      <c r="I6" s="74" t="s">
        <v>36</v>
      </c>
      <c r="J6" s="74" t="s">
        <v>6</v>
      </c>
      <c r="M6" s="76" t="s">
        <v>47</v>
      </c>
      <c r="N6" s="76" t="s">
        <v>48</v>
      </c>
      <c r="O6" s="76" t="s">
        <v>49</v>
      </c>
      <c r="P6" s="76" t="s">
        <v>50</v>
      </c>
      <c r="R6" s="75" t="s">
        <v>55</v>
      </c>
      <c r="S6" s="75" t="s">
        <v>50</v>
      </c>
    </row>
    <row r="7" spans="1:23" ht="15" thickBot="1">
      <c r="B7" s="33">
        <v>1</v>
      </c>
      <c r="C7" s="33">
        <v>67</v>
      </c>
      <c r="D7" s="33">
        <v>82</v>
      </c>
      <c r="E7" s="32">
        <f>AVERAGE(C7:D7)</f>
        <v>74.5</v>
      </c>
      <c r="F7" s="38" t="str">
        <f xml:space="preserve"> IF(AND(C7&gt;=40,D7&gt;=40),"PASS","FAIL")</f>
        <v>PASS</v>
      </c>
      <c r="G7" s="32" t="str">
        <f xml:space="preserve"> IF(F7="FAIL","IV",IF(E7&gt;=60,"I",IF(E7&gt;=50,"II","III")))</f>
        <v>I</v>
      </c>
      <c r="H7" s="39"/>
      <c r="I7" s="32" t="s">
        <v>38</v>
      </c>
      <c r="J7" s="32" t="s">
        <v>42</v>
      </c>
      <c r="M7" s="32">
        <v>1</v>
      </c>
      <c r="N7" s="33" t="s">
        <v>60</v>
      </c>
      <c r="O7" s="34">
        <v>25000</v>
      </c>
      <c r="P7" s="32">
        <f>IF(O7&lt;30000, O7*5%, IF(O7&lt;=70000, 1500+(O7-30000)*10%, 1500+4000+(O7-70000)*15%))</f>
        <v>1250</v>
      </c>
      <c r="R7" s="32">
        <v>30000</v>
      </c>
      <c r="S7" s="36">
        <v>0.05</v>
      </c>
    </row>
    <row r="8" spans="1:23" ht="15" thickBot="1">
      <c r="B8" s="33">
        <v>2</v>
      </c>
      <c r="C8" s="33">
        <v>39</v>
      </c>
      <c r="D8" s="33">
        <v>53</v>
      </c>
      <c r="E8" s="32">
        <f t="shared" ref="E8:E56" si="0">AVERAGE(C8:D8)</f>
        <v>46</v>
      </c>
      <c r="F8" s="38" t="str">
        <f t="shared" ref="F8:F56" si="1" xml:space="preserve"> IF(AND(C8&gt;=40,D8&gt;=40),"PASS","FAIL")</f>
        <v>FAIL</v>
      </c>
      <c r="G8" s="32" t="str">
        <f t="shared" ref="G8:G56" si="2" xml:space="preserve"> IF(F8="FAIL","IV",IF(E8&gt;=60,"I",IF(E8&gt;=50,"II","III")))</f>
        <v>IV</v>
      </c>
      <c r="I8" s="32" t="s">
        <v>39</v>
      </c>
      <c r="J8" s="40" t="s">
        <v>43</v>
      </c>
      <c r="M8" s="32">
        <v>2</v>
      </c>
      <c r="N8" s="33" t="s">
        <v>61</v>
      </c>
      <c r="O8" s="34">
        <v>30000</v>
      </c>
      <c r="P8" s="32">
        <f t="shared" ref="P8:P16" si="3">IF(O8&lt;30000, O8*5%, IF(O8&lt;=70000, 1500+(O8-30000)*10%, 1500+4000+(O8-70000)*15%))</f>
        <v>1500</v>
      </c>
      <c r="R8" s="32">
        <v>40000</v>
      </c>
      <c r="S8" s="36">
        <v>0.1</v>
      </c>
    </row>
    <row r="9" spans="1:23" ht="15" thickBot="1">
      <c r="B9" s="33">
        <v>3</v>
      </c>
      <c r="C9" s="33">
        <v>74</v>
      </c>
      <c r="D9" s="33">
        <v>41</v>
      </c>
      <c r="E9" s="32">
        <f t="shared" si="0"/>
        <v>57.5</v>
      </c>
      <c r="F9" s="38" t="str">
        <f t="shared" si="1"/>
        <v>PASS</v>
      </c>
      <c r="G9" s="32" t="str">
        <f t="shared" si="2"/>
        <v>II</v>
      </c>
      <c r="I9" s="32" t="s">
        <v>40</v>
      </c>
      <c r="J9" s="40" t="s">
        <v>44</v>
      </c>
      <c r="M9" s="32">
        <v>3</v>
      </c>
      <c r="N9" s="33" t="s">
        <v>62</v>
      </c>
      <c r="O9" s="34">
        <v>45000</v>
      </c>
      <c r="P9" s="32">
        <f t="shared" si="3"/>
        <v>3000</v>
      </c>
      <c r="R9" s="32" t="s">
        <v>56</v>
      </c>
      <c r="S9" s="36">
        <v>0.15</v>
      </c>
    </row>
    <row r="10" spans="1:23" ht="15" thickBot="1">
      <c r="B10" s="33">
        <v>4</v>
      </c>
      <c r="C10" s="33">
        <v>88</v>
      </c>
      <c r="D10" s="33">
        <v>38</v>
      </c>
      <c r="E10" s="32">
        <f t="shared" si="0"/>
        <v>63</v>
      </c>
      <c r="F10" s="38" t="str">
        <f t="shared" si="1"/>
        <v>FAIL</v>
      </c>
      <c r="G10" s="32" t="str">
        <f t="shared" si="2"/>
        <v>IV</v>
      </c>
      <c r="I10" s="32" t="s">
        <v>41</v>
      </c>
      <c r="J10" s="32" t="s">
        <v>45</v>
      </c>
      <c r="M10" s="32">
        <v>4</v>
      </c>
      <c r="N10" s="33" t="s">
        <v>63</v>
      </c>
      <c r="O10" s="34">
        <v>60000</v>
      </c>
      <c r="P10" s="32">
        <f t="shared" si="3"/>
        <v>4500</v>
      </c>
    </row>
    <row r="11" spans="1:23" ht="15" thickBot="1">
      <c r="B11" s="33">
        <v>5</v>
      </c>
      <c r="C11" s="33">
        <v>55</v>
      </c>
      <c r="D11" s="33">
        <v>45</v>
      </c>
      <c r="E11" s="32">
        <f t="shared" si="0"/>
        <v>50</v>
      </c>
      <c r="F11" s="38" t="str">
        <f t="shared" si="1"/>
        <v>PASS</v>
      </c>
      <c r="G11" s="32" t="str">
        <f t="shared" si="2"/>
        <v>II</v>
      </c>
      <c r="M11" s="32">
        <v>5</v>
      </c>
      <c r="N11" s="33" t="s">
        <v>64</v>
      </c>
      <c r="O11" s="34">
        <v>70000</v>
      </c>
      <c r="P11" s="32">
        <f t="shared" si="3"/>
        <v>5500</v>
      </c>
    </row>
    <row r="12" spans="1:23" ht="15" thickBot="1">
      <c r="B12" s="33">
        <v>6</v>
      </c>
      <c r="C12" s="33">
        <v>91</v>
      </c>
      <c r="D12" s="33">
        <v>62</v>
      </c>
      <c r="E12" s="32">
        <f t="shared" si="0"/>
        <v>76.5</v>
      </c>
      <c r="F12" s="38" t="str">
        <f t="shared" si="1"/>
        <v>PASS</v>
      </c>
      <c r="G12" s="32" t="str">
        <f t="shared" si="2"/>
        <v>I</v>
      </c>
      <c r="M12" s="32">
        <v>6</v>
      </c>
      <c r="N12" s="33" t="s">
        <v>65</v>
      </c>
      <c r="O12" s="34">
        <v>85000</v>
      </c>
      <c r="P12" s="32">
        <f t="shared" si="3"/>
        <v>7750</v>
      </c>
    </row>
    <row r="13" spans="1:23" ht="15" thickBot="1">
      <c r="B13" s="33">
        <v>7</v>
      </c>
      <c r="C13" s="33">
        <v>43</v>
      </c>
      <c r="D13" s="33">
        <v>37</v>
      </c>
      <c r="E13" s="32">
        <f t="shared" si="0"/>
        <v>40</v>
      </c>
      <c r="F13" s="38" t="str">
        <f t="shared" si="1"/>
        <v>FAIL</v>
      </c>
      <c r="G13" s="32" t="str">
        <f t="shared" si="2"/>
        <v>IV</v>
      </c>
      <c r="M13" s="32">
        <v>7</v>
      </c>
      <c r="N13" s="33" t="s">
        <v>66</v>
      </c>
      <c r="O13" s="34">
        <v>95000</v>
      </c>
      <c r="P13" s="32">
        <f t="shared" si="3"/>
        <v>9250</v>
      </c>
    </row>
    <row r="14" spans="1:23" ht="15" thickBot="1">
      <c r="B14" s="33">
        <v>8</v>
      </c>
      <c r="C14" s="33">
        <v>59</v>
      </c>
      <c r="D14" s="33">
        <v>90</v>
      </c>
      <c r="E14" s="32">
        <f t="shared" si="0"/>
        <v>74.5</v>
      </c>
      <c r="F14" s="38" t="str">
        <f t="shared" si="1"/>
        <v>PASS</v>
      </c>
      <c r="G14" s="32" t="str">
        <f t="shared" si="2"/>
        <v>I</v>
      </c>
      <c r="M14" s="32">
        <v>8</v>
      </c>
      <c r="N14" s="33" t="s">
        <v>67</v>
      </c>
      <c r="O14" s="34">
        <v>120000</v>
      </c>
      <c r="P14" s="32">
        <f t="shared" si="3"/>
        <v>13000</v>
      </c>
    </row>
    <row r="15" spans="1:23" ht="15" thickBot="1">
      <c r="B15" s="33">
        <v>9</v>
      </c>
      <c r="C15" s="33">
        <v>33</v>
      </c>
      <c r="D15" s="33">
        <v>49</v>
      </c>
      <c r="E15" s="32">
        <f t="shared" si="0"/>
        <v>41</v>
      </c>
      <c r="F15" s="38" t="str">
        <f t="shared" si="1"/>
        <v>FAIL</v>
      </c>
      <c r="G15" s="32" t="str">
        <f t="shared" si="2"/>
        <v>IV</v>
      </c>
      <c r="M15" s="32">
        <v>9</v>
      </c>
      <c r="N15" s="33" t="s">
        <v>68</v>
      </c>
      <c r="O15" s="34">
        <v>150000</v>
      </c>
      <c r="P15" s="32">
        <f t="shared" si="3"/>
        <v>17500</v>
      </c>
    </row>
    <row r="16" spans="1:23" ht="15" thickBot="1">
      <c r="B16" s="33">
        <v>10</v>
      </c>
      <c r="C16" s="33">
        <v>77</v>
      </c>
      <c r="D16" s="33">
        <v>66</v>
      </c>
      <c r="E16" s="32">
        <f t="shared" si="0"/>
        <v>71.5</v>
      </c>
      <c r="F16" s="38" t="str">
        <f t="shared" si="1"/>
        <v>PASS</v>
      </c>
      <c r="G16" s="32" t="str">
        <f t="shared" si="2"/>
        <v>I</v>
      </c>
      <c r="M16" s="32">
        <v>10</v>
      </c>
      <c r="N16" s="33" t="s">
        <v>69</v>
      </c>
      <c r="O16" s="34">
        <v>200000</v>
      </c>
      <c r="P16" s="32">
        <f t="shared" si="3"/>
        <v>25000</v>
      </c>
    </row>
    <row r="17" spans="2:21" ht="15" thickBot="1">
      <c r="B17" s="33">
        <v>11</v>
      </c>
      <c r="C17" s="33">
        <v>81</v>
      </c>
      <c r="D17" s="33">
        <v>39</v>
      </c>
      <c r="E17" s="32">
        <f t="shared" si="0"/>
        <v>60</v>
      </c>
      <c r="F17" s="38" t="str">
        <f t="shared" si="1"/>
        <v>FAIL</v>
      </c>
      <c r="G17" s="32" t="str">
        <f t="shared" si="2"/>
        <v>IV</v>
      </c>
    </row>
    <row r="18" spans="2:21" ht="15" thickBot="1">
      <c r="B18" s="33">
        <v>12</v>
      </c>
      <c r="C18" s="33">
        <v>60</v>
      </c>
      <c r="D18" s="33">
        <v>42</v>
      </c>
      <c r="E18" s="32">
        <f t="shared" si="0"/>
        <v>51</v>
      </c>
      <c r="F18" s="38" t="str">
        <f t="shared" si="1"/>
        <v>PASS</v>
      </c>
      <c r="G18" s="32" t="str">
        <f t="shared" si="2"/>
        <v>II</v>
      </c>
    </row>
    <row r="19" spans="2:21" ht="15" thickBot="1">
      <c r="B19" s="33">
        <v>13</v>
      </c>
      <c r="C19" s="33">
        <v>49</v>
      </c>
      <c r="D19" s="33">
        <v>52</v>
      </c>
      <c r="E19" s="32">
        <f t="shared" si="0"/>
        <v>50.5</v>
      </c>
      <c r="F19" s="38" t="str">
        <f t="shared" si="1"/>
        <v>PASS</v>
      </c>
      <c r="G19" s="32" t="str">
        <f t="shared" si="2"/>
        <v>II</v>
      </c>
    </row>
    <row r="20" spans="2:21" ht="15" thickBot="1">
      <c r="B20" s="33">
        <v>14</v>
      </c>
      <c r="C20" s="33">
        <v>37</v>
      </c>
      <c r="D20" s="33">
        <v>58</v>
      </c>
      <c r="E20" s="32">
        <f t="shared" si="0"/>
        <v>47.5</v>
      </c>
      <c r="F20" s="38" t="str">
        <f t="shared" si="1"/>
        <v>FAIL</v>
      </c>
      <c r="G20" s="32" t="str">
        <f t="shared" si="2"/>
        <v>IV</v>
      </c>
    </row>
    <row r="21" spans="2:21" ht="15" customHeight="1" thickBot="1">
      <c r="B21" s="33">
        <v>15</v>
      </c>
      <c r="C21" s="33">
        <v>64</v>
      </c>
      <c r="D21" s="33">
        <v>71</v>
      </c>
      <c r="E21" s="32">
        <f t="shared" si="0"/>
        <v>67.5</v>
      </c>
      <c r="F21" s="38" t="str">
        <f t="shared" si="1"/>
        <v>PASS</v>
      </c>
      <c r="G21" s="32" t="str">
        <f t="shared" si="2"/>
        <v>I</v>
      </c>
      <c r="M21" s="79" t="s">
        <v>59</v>
      </c>
      <c r="N21" s="80"/>
      <c r="O21" s="80"/>
      <c r="P21" s="80"/>
      <c r="Q21" s="80"/>
      <c r="R21" s="80"/>
      <c r="S21" s="80"/>
      <c r="T21" s="80"/>
      <c r="U21" s="81"/>
    </row>
    <row r="22" spans="2:21" ht="15" customHeight="1" thickBot="1">
      <c r="B22" s="33">
        <v>16</v>
      </c>
      <c r="C22" s="33">
        <v>45</v>
      </c>
      <c r="D22" s="33">
        <v>68</v>
      </c>
      <c r="E22" s="32">
        <f t="shared" si="0"/>
        <v>56.5</v>
      </c>
      <c r="F22" s="38" t="str">
        <f t="shared" si="1"/>
        <v>PASS</v>
      </c>
      <c r="G22" s="32" t="str">
        <f t="shared" si="2"/>
        <v>II</v>
      </c>
      <c r="M22" s="74" t="s">
        <v>47</v>
      </c>
      <c r="N22" s="74" t="s">
        <v>48</v>
      </c>
      <c r="O22" s="74" t="s">
        <v>51</v>
      </c>
      <c r="P22" s="74" t="s">
        <v>52</v>
      </c>
      <c r="Q22" s="74" t="s">
        <v>53</v>
      </c>
      <c r="R22" s="74" t="s">
        <v>54</v>
      </c>
      <c r="T22" s="77" t="s">
        <v>51</v>
      </c>
      <c r="U22" s="77" t="s">
        <v>57</v>
      </c>
    </row>
    <row r="23" spans="2:21" ht="15" customHeight="1" thickBot="1">
      <c r="B23" s="33">
        <v>17</v>
      </c>
      <c r="C23" s="33">
        <v>38</v>
      </c>
      <c r="D23" s="33">
        <v>36</v>
      </c>
      <c r="E23" s="32">
        <f t="shared" si="0"/>
        <v>37</v>
      </c>
      <c r="F23" s="38" t="str">
        <f t="shared" si="1"/>
        <v>FAIL</v>
      </c>
      <c r="G23" s="32" t="str">
        <f t="shared" si="2"/>
        <v>IV</v>
      </c>
      <c r="M23" s="32">
        <v>1</v>
      </c>
      <c r="N23" s="33" t="s">
        <v>70</v>
      </c>
      <c r="O23" s="34">
        <v>140000</v>
      </c>
      <c r="P23" s="26">
        <f>IF(O23&lt;150000,0,IF(O23&lt;=250000,(O23-150000)*10%,IF(O23&lt;=325000,10000+(O23-250000)*20%,25000+(O23-325000)*30%)))</f>
        <v>0</v>
      </c>
      <c r="Q23" s="26">
        <f>IF(O23&lt;500000,0,P23*3%)</f>
        <v>0</v>
      </c>
      <c r="R23" s="32">
        <f>P23+Q23</f>
        <v>0</v>
      </c>
      <c r="T23" s="35">
        <v>150000</v>
      </c>
      <c r="U23" s="36">
        <v>0</v>
      </c>
    </row>
    <row r="24" spans="2:21" ht="15" thickBot="1">
      <c r="B24" s="33">
        <v>18</v>
      </c>
      <c r="C24" s="33">
        <v>54</v>
      </c>
      <c r="D24" s="33">
        <v>69</v>
      </c>
      <c r="E24" s="32">
        <f t="shared" si="0"/>
        <v>61.5</v>
      </c>
      <c r="F24" s="38" t="str">
        <f t="shared" si="1"/>
        <v>PASS</v>
      </c>
      <c r="G24" s="32" t="str">
        <f t="shared" si="2"/>
        <v>I</v>
      </c>
      <c r="M24" s="32">
        <v>2</v>
      </c>
      <c r="N24" s="33" t="s">
        <v>71</v>
      </c>
      <c r="O24" s="34">
        <v>180000</v>
      </c>
      <c r="P24" s="26">
        <f t="shared" ref="P24:P72" si="4">IF(O24&lt;150000,0,IF(O24&lt;=250000,(O24-150000)*10%,IF(O24&lt;=325000,10000+(O24-250000)*20%,25000+(O24-325000)*30%)))</f>
        <v>3000</v>
      </c>
      <c r="Q24" s="26">
        <f t="shared" ref="Q24:Q72" si="5">IF(O24&lt;500000,0,P24*3%)</f>
        <v>0</v>
      </c>
      <c r="R24" s="32">
        <f t="shared" ref="R24:R72" si="6">P24+Q24</f>
        <v>3000</v>
      </c>
      <c r="T24" s="35">
        <v>250000</v>
      </c>
      <c r="U24" s="36">
        <v>0.1</v>
      </c>
    </row>
    <row r="25" spans="2:21" ht="15" thickBot="1">
      <c r="B25" s="33">
        <v>19</v>
      </c>
      <c r="C25" s="33">
        <v>93</v>
      </c>
      <c r="D25" s="33">
        <v>91</v>
      </c>
      <c r="E25" s="32">
        <f t="shared" si="0"/>
        <v>92</v>
      </c>
      <c r="F25" s="38" t="str">
        <f t="shared" si="1"/>
        <v>PASS</v>
      </c>
      <c r="G25" s="32" t="str">
        <f t="shared" si="2"/>
        <v>I</v>
      </c>
      <c r="M25" s="32">
        <v>3</v>
      </c>
      <c r="N25" s="33" t="s">
        <v>72</v>
      </c>
      <c r="O25" s="34">
        <v>230000</v>
      </c>
      <c r="P25" s="26">
        <f t="shared" si="4"/>
        <v>8000</v>
      </c>
      <c r="Q25" s="26">
        <f t="shared" si="5"/>
        <v>0</v>
      </c>
      <c r="R25" s="32">
        <f t="shared" si="6"/>
        <v>8000</v>
      </c>
      <c r="T25" s="35">
        <v>325000</v>
      </c>
      <c r="U25" s="36">
        <v>0.2</v>
      </c>
    </row>
    <row r="26" spans="2:21" ht="15" thickBot="1">
      <c r="B26" s="33">
        <v>20</v>
      </c>
      <c r="C26" s="33">
        <v>57</v>
      </c>
      <c r="D26" s="33">
        <v>87</v>
      </c>
      <c r="E26" s="32">
        <f t="shared" si="0"/>
        <v>72</v>
      </c>
      <c r="F26" s="38" t="str">
        <f t="shared" si="1"/>
        <v>PASS</v>
      </c>
      <c r="G26" s="32" t="str">
        <f t="shared" si="2"/>
        <v>I</v>
      </c>
      <c r="M26" s="32">
        <v>4</v>
      </c>
      <c r="N26" s="33" t="s">
        <v>73</v>
      </c>
      <c r="O26" s="34">
        <v>260000</v>
      </c>
      <c r="P26" s="26">
        <f t="shared" si="4"/>
        <v>12000</v>
      </c>
      <c r="Q26" s="26">
        <f t="shared" si="5"/>
        <v>0</v>
      </c>
      <c r="R26" s="32">
        <f t="shared" si="6"/>
        <v>12000</v>
      </c>
      <c r="T26" s="32" t="s">
        <v>58</v>
      </c>
      <c r="U26" s="36">
        <v>0.3</v>
      </c>
    </row>
    <row r="27" spans="2:21" ht="15" thickBot="1">
      <c r="B27" s="33">
        <v>21</v>
      </c>
      <c r="C27" s="33">
        <v>65</v>
      </c>
      <c r="D27" s="33">
        <v>63</v>
      </c>
      <c r="E27" s="32">
        <f t="shared" si="0"/>
        <v>64</v>
      </c>
      <c r="F27" s="38" t="str">
        <f t="shared" si="1"/>
        <v>PASS</v>
      </c>
      <c r="G27" s="32" t="str">
        <f t="shared" si="2"/>
        <v>I</v>
      </c>
      <c r="M27" s="32"/>
      <c r="N27" s="33" t="s">
        <v>74</v>
      </c>
      <c r="O27" s="34">
        <v>310000</v>
      </c>
      <c r="P27" s="26">
        <f t="shared" si="4"/>
        <v>22000</v>
      </c>
      <c r="Q27" s="26">
        <f t="shared" si="5"/>
        <v>0</v>
      </c>
      <c r="R27" s="32">
        <f t="shared" si="6"/>
        <v>22000</v>
      </c>
    </row>
    <row r="28" spans="2:21" ht="15" thickBot="1">
      <c r="B28" s="33">
        <v>22</v>
      </c>
      <c r="C28" s="33">
        <v>47</v>
      </c>
      <c r="D28" s="33">
        <v>48</v>
      </c>
      <c r="E28" s="32">
        <f t="shared" si="0"/>
        <v>47.5</v>
      </c>
      <c r="F28" s="38" t="str">
        <f t="shared" si="1"/>
        <v>PASS</v>
      </c>
      <c r="G28" s="32" t="str">
        <f t="shared" si="2"/>
        <v>III</v>
      </c>
      <c r="M28" s="32">
        <v>6</v>
      </c>
      <c r="N28" s="33" t="s">
        <v>75</v>
      </c>
      <c r="O28" s="34">
        <v>350000</v>
      </c>
      <c r="P28" s="26">
        <f t="shared" si="4"/>
        <v>32500</v>
      </c>
      <c r="Q28" s="26">
        <f t="shared" si="5"/>
        <v>0</v>
      </c>
      <c r="R28" s="32">
        <f t="shared" si="6"/>
        <v>32500</v>
      </c>
    </row>
    <row r="29" spans="2:21" ht="15" thickBot="1">
      <c r="B29" s="33">
        <v>23</v>
      </c>
      <c r="C29" s="33">
        <v>62</v>
      </c>
      <c r="D29" s="33">
        <v>76</v>
      </c>
      <c r="E29" s="32">
        <f t="shared" si="0"/>
        <v>69</v>
      </c>
      <c r="F29" s="38" t="str">
        <f t="shared" si="1"/>
        <v>PASS</v>
      </c>
      <c r="G29" s="32" t="str">
        <f t="shared" si="2"/>
        <v>I</v>
      </c>
      <c r="M29" s="32">
        <v>7</v>
      </c>
      <c r="N29" s="33" t="s">
        <v>76</v>
      </c>
      <c r="O29" s="34">
        <v>390000</v>
      </c>
      <c r="P29" s="26">
        <f t="shared" si="4"/>
        <v>44500</v>
      </c>
      <c r="Q29" s="26">
        <f t="shared" si="5"/>
        <v>0</v>
      </c>
      <c r="R29" s="32">
        <f t="shared" si="6"/>
        <v>44500</v>
      </c>
    </row>
    <row r="30" spans="2:21" ht="15" thickBot="1">
      <c r="B30" s="33">
        <v>24</v>
      </c>
      <c r="C30" s="33">
        <v>28</v>
      </c>
      <c r="D30" s="33">
        <v>35</v>
      </c>
      <c r="E30" s="32">
        <f t="shared" si="0"/>
        <v>31.5</v>
      </c>
      <c r="F30" s="38" t="str">
        <f t="shared" si="1"/>
        <v>FAIL</v>
      </c>
      <c r="G30" s="32" t="str">
        <f t="shared" si="2"/>
        <v>IV</v>
      </c>
      <c r="M30" s="32">
        <v>8</v>
      </c>
      <c r="N30" s="33" t="s">
        <v>77</v>
      </c>
      <c r="O30" s="34">
        <v>420000</v>
      </c>
      <c r="P30" s="26">
        <f t="shared" si="4"/>
        <v>53500</v>
      </c>
      <c r="Q30" s="26">
        <f t="shared" si="5"/>
        <v>0</v>
      </c>
      <c r="R30" s="32">
        <f t="shared" si="6"/>
        <v>53500</v>
      </c>
    </row>
    <row r="31" spans="2:21" ht="15" thickBot="1">
      <c r="B31" s="33">
        <v>25</v>
      </c>
      <c r="C31" s="33">
        <v>80</v>
      </c>
      <c r="D31" s="33">
        <v>44</v>
      </c>
      <c r="E31" s="32">
        <f t="shared" si="0"/>
        <v>62</v>
      </c>
      <c r="F31" s="38" t="str">
        <f t="shared" si="1"/>
        <v>PASS</v>
      </c>
      <c r="G31" s="32" t="str">
        <f t="shared" si="2"/>
        <v>I</v>
      </c>
      <c r="M31" s="32">
        <v>9</v>
      </c>
      <c r="N31" s="33" t="s">
        <v>78</v>
      </c>
      <c r="O31" s="34">
        <v>480000</v>
      </c>
      <c r="P31" s="26">
        <f t="shared" si="4"/>
        <v>71500</v>
      </c>
      <c r="Q31" s="26">
        <f t="shared" si="5"/>
        <v>0</v>
      </c>
      <c r="R31" s="32">
        <f t="shared" si="6"/>
        <v>71500</v>
      </c>
    </row>
    <row r="32" spans="2:21" ht="15" thickBot="1">
      <c r="B32" s="33">
        <v>26</v>
      </c>
      <c r="C32" s="33">
        <v>70</v>
      </c>
      <c r="D32" s="33">
        <v>73</v>
      </c>
      <c r="E32" s="32">
        <f t="shared" si="0"/>
        <v>71.5</v>
      </c>
      <c r="F32" s="38" t="str">
        <f t="shared" si="1"/>
        <v>PASS</v>
      </c>
      <c r="G32" s="32" t="str">
        <f t="shared" si="2"/>
        <v>I</v>
      </c>
      <c r="M32" s="32">
        <v>10</v>
      </c>
      <c r="N32" s="33" t="s">
        <v>79</v>
      </c>
      <c r="O32" s="34">
        <v>510000</v>
      </c>
      <c r="P32" s="26">
        <f t="shared" si="4"/>
        <v>80500</v>
      </c>
      <c r="Q32" s="26">
        <f t="shared" si="5"/>
        <v>2415</v>
      </c>
      <c r="R32" s="32">
        <f t="shared" si="6"/>
        <v>82915</v>
      </c>
    </row>
    <row r="33" spans="2:18" ht="15" thickBot="1">
      <c r="B33" s="33">
        <v>27</v>
      </c>
      <c r="C33" s="33">
        <v>53</v>
      </c>
      <c r="D33" s="33">
        <v>59</v>
      </c>
      <c r="E33" s="32">
        <f t="shared" si="0"/>
        <v>56</v>
      </c>
      <c r="F33" s="38" t="str">
        <f t="shared" si="1"/>
        <v>PASS</v>
      </c>
      <c r="G33" s="32" t="str">
        <f t="shared" si="2"/>
        <v>II</v>
      </c>
      <c r="M33" s="32">
        <v>11</v>
      </c>
      <c r="N33" s="33" t="s">
        <v>80</v>
      </c>
      <c r="O33" s="34">
        <v>540000</v>
      </c>
      <c r="P33" s="26">
        <f t="shared" si="4"/>
        <v>89500</v>
      </c>
      <c r="Q33" s="26">
        <f t="shared" si="5"/>
        <v>2685</v>
      </c>
      <c r="R33" s="32">
        <f t="shared" si="6"/>
        <v>92185</v>
      </c>
    </row>
    <row r="34" spans="2:18" ht="15" thickBot="1">
      <c r="B34" s="33">
        <v>28</v>
      </c>
      <c r="C34" s="33">
        <v>60</v>
      </c>
      <c r="D34" s="33">
        <v>51</v>
      </c>
      <c r="E34" s="32">
        <f t="shared" si="0"/>
        <v>55.5</v>
      </c>
      <c r="F34" s="38" t="str">
        <f t="shared" si="1"/>
        <v>PASS</v>
      </c>
      <c r="G34" s="32" t="str">
        <f t="shared" si="2"/>
        <v>II</v>
      </c>
      <c r="M34" s="32">
        <v>12</v>
      </c>
      <c r="N34" s="33" t="s">
        <v>81</v>
      </c>
      <c r="O34" s="34">
        <v>580000</v>
      </c>
      <c r="P34" s="26">
        <f t="shared" si="4"/>
        <v>101500</v>
      </c>
      <c r="Q34" s="26">
        <f t="shared" si="5"/>
        <v>3045</v>
      </c>
      <c r="R34" s="32">
        <f t="shared" si="6"/>
        <v>104545</v>
      </c>
    </row>
    <row r="35" spans="2:18" ht="15" thickBot="1">
      <c r="B35" s="33">
        <v>29</v>
      </c>
      <c r="C35" s="33">
        <v>34</v>
      </c>
      <c r="D35" s="33">
        <v>55</v>
      </c>
      <c r="E35" s="32">
        <f t="shared" si="0"/>
        <v>44.5</v>
      </c>
      <c r="F35" s="38" t="str">
        <f t="shared" si="1"/>
        <v>FAIL</v>
      </c>
      <c r="G35" s="32" t="str">
        <f t="shared" si="2"/>
        <v>IV</v>
      </c>
      <c r="M35" s="32">
        <v>13</v>
      </c>
      <c r="N35" s="33" t="s">
        <v>82</v>
      </c>
      <c r="O35" s="34">
        <v>610000</v>
      </c>
      <c r="P35" s="26">
        <f t="shared" si="4"/>
        <v>110500</v>
      </c>
      <c r="Q35" s="26">
        <f t="shared" si="5"/>
        <v>3315</v>
      </c>
      <c r="R35" s="32">
        <f t="shared" si="6"/>
        <v>113815</v>
      </c>
    </row>
    <row r="36" spans="2:18" ht="15" thickBot="1">
      <c r="B36" s="33">
        <v>30</v>
      </c>
      <c r="C36" s="33">
        <v>76</v>
      </c>
      <c r="D36" s="33">
        <v>88</v>
      </c>
      <c r="E36" s="32">
        <f t="shared" si="0"/>
        <v>82</v>
      </c>
      <c r="F36" s="38" t="str">
        <f t="shared" si="1"/>
        <v>PASS</v>
      </c>
      <c r="G36" s="32" t="str">
        <f t="shared" si="2"/>
        <v>I</v>
      </c>
      <c r="M36" s="32">
        <v>14</v>
      </c>
      <c r="N36" s="33" t="s">
        <v>83</v>
      </c>
      <c r="O36" s="34">
        <v>640000</v>
      </c>
      <c r="P36" s="26">
        <f t="shared" si="4"/>
        <v>119500</v>
      </c>
      <c r="Q36" s="26">
        <f t="shared" si="5"/>
        <v>3585</v>
      </c>
      <c r="R36" s="32">
        <f t="shared" si="6"/>
        <v>123085</v>
      </c>
    </row>
    <row r="37" spans="2:18" ht="15" thickBot="1">
      <c r="B37" s="33">
        <v>31</v>
      </c>
      <c r="C37" s="33">
        <v>69</v>
      </c>
      <c r="D37" s="33">
        <v>67</v>
      </c>
      <c r="E37" s="32">
        <f t="shared" si="0"/>
        <v>68</v>
      </c>
      <c r="F37" s="38" t="str">
        <f t="shared" si="1"/>
        <v>PASS</v>
      </c>
      <c r="G37" s="32" t="str">
        <f t="shared" si="2"/>
        <v>I</v>
      </c>
      <c r="M37" s="32">
        <v>15</v>
      </c>
      <c r="N37" s="33" t="s">
        <v>84</v>
      </c>
      <c r="O37" s="34">
        <v>680000</v>
      </c>
      <c r="P37" s="26">
        <f t="shared" si="4"/>
        <v>131500</v>
      </c>
      <c r="Q37" s="26">
        <f t="shared" si="5"/>
        <v>3945</v>
      </c>
      <c r="R37" s="32">
        <f t="shared" si="6"/>
        <v>135445</v>
      </c>
    </row>
    <row r="38" spans="2:18" ht="15" thickBot="1">
      <c r="B38" s="33">
        <v>32</v>
      </c>
      <c r="C38" s="33">
        <v>46</v>
      </c>
      <c r="D38" s="33">
        <v>41</v>
      </c>
      <c r="E38" s="32">
        <f t="shared" si="0"/>
        <v>43.5</v>
      </c>
      <c r="F38" s="38" t="str">
        <f t="shared" si="1"/>
        <v>PASS</v>
      </c>
      <c r="G38" s="32" t="str">
        <f t="shared" si="2"/>
        <v>III</v>
      </c>
      <c r="M38" s="32">
        <v>16</v>
      </c>
      <c r="N38" s="33" t="s">
        <v>85</v>
      </c>
      <c r="O38" s="34">
        <v>710000</v>
      </c>
      <c r="P38" s="26">
        <f t="shared" si="4"/>
        <v>140500</v>
      </c>
      <c r="Q38" s="26">
        <f t="shared" si="5"/>
        <v>4215</v>
      </c>
      <c r="R38" s="32">
        <f t="shared" si="6"/>
        <v>144715</v>
      </c>
    </row>
    <row r="39" spans="2:18" ht="15" thickBot="1">
      <c r="B39" s="33">
        <v>33</v>
      </c>
      <c r="C39" s="33">
        <v>43</v>
      </c>
      <c r="D39" s="33">
        <v>38</v>
      </c>
      <c r="E39" s="32">
        <f t="shared" si="0"/>
        <v>40.5</v>
      </c>
      <c r="F39" s="38" t="str">
        <f t="shared" si="1"/>
        <v>FAIL</v>
      </c>
      <c r="G39" s="32" t="str">
        <f t="shared" si="2"/>
        <v>IV</v>
      </c>
      <c r="M39" s="32">
        <v>17</v>
      </c>
      <c r="N39" s="33" t="s">
        <v>86</v>
      </c>
      <c r="O39" s="34">
        <v>750000</v>
      </c>
      <c r="P39" s="26">
        <f t="shared" si="4"/>
        <v>152500</v>
      </c>
      <c r="Q39" s="26">
        <f t="shared" si="5"/>
        <v>4575</v>
      </c>
      <c r="R39" s="32">
        <f t="shared" si="6"/>
        <v>157075</v>
      </c>
    </row>
    <row r="40" spans="2:18" ht="15" thickBot="1">
      <c r="B40" s="33">
        <v>34</v>
      </c>
      <c r="C40" s="33">
        <v>31</v>
      </c>
      <c r="D40" s="33">
        <v>46</v>
      </c>
      <c r="E40" s="32">
        <f t="shared" si="0"/>
        <v>38.5</v>
      </c>
      <c r="F40" s="38" t="str">
        <f t="shared" si="1"/>
        <v>FAIL</v>
      </c>
      <c r="G40" s="32" t="str">
        <f t="shared" si="2"/>
        <v>IV</v>
      </c>
      <c r="M40" s="32">
        <v>18</v>
      </c>
      <c r="N40" s="33" t="s">
        <v>87</v>
      </c>
      <c r="O40" s="34">
        <v>780000</v>
      </c>
      <c r="P40" s="26">
        <f t="shared" si="4"/>
        <v>161500</v>
      </c>
      <c r="Q40" s="26">
        <f t="shared" si="5"/>
        <v>4845</v>
      </c>
      <c r="R40" s="32">
        <f t="shared" si="6"/>
        <v>166345</v>
      </c>
    </row>
    <row r="41" spans="2:18" ht="15" thickBot="1">
      <c r="B41" s="33">
        <v>35</v>
      </c>
      <c r="C41" s="33">
        <v>87</v>
      </c>
      <c r="D41" s="33">
        <v>92</v>
      </c>
      <c r="E41" s="32">
        <f t="shared" si="0"/>
        <v>89.5</v>
      </c>
      <c r="F41" s="38" t="str">
        <f t="shared" si="1"/>
        <v>PASS</v>
      </c>
      <c r="G41" s="32" t="str">
        <f t="shared" si="2"/>
        <v>I</v>
      </c>
      <c r="M41" s="32">
        <v>19</v>
      </c>
      <c r="N41" s="33" t="s">
        <v>88</v>
      </c>
      <c r="O41" s="34">
        <v>810000</v>
      </c>
      <c r="P41" s="26">
        <f t="shared" si="4"/>
        <v>170500</v>
      </c>
      <c r="Q41" s="26">
        <f t="shared" si="5"/>
        <v>5115</v>
      </c>
      <c r="R41" s="32">
        <f t="shared" si="6"/>
        <v>175615</v>
      </c>
    </row>
    <row r="42" spans="2:18" ht="15" thickBot="1">
      <c r="B42" s="33">
        <v>36</v>
      </c>
      <c r="C42" s="33">
        <v>49</v>
      </c>
      <c r="D42" s="33">
        <v>50</v>
      </c>
      <c r="E42" s="32">
        <f t="shared" si="0"/>
        <v>49.5</v>
      </c>
      <c r="F42" s="38" t="str">
        <f t="shared" si="1"/>
        <v>PASS</v>
      </c>
      <c r="G42" s="32" t="str">
        <f t="shared" si="2"/>
        <v>III</v>
      </c>
      <c r="M42" s="32">
        <v>20</v>
      </c>
      <c r="N42" s="33" t="s">
        <v>89</v>
      </c>
      <c r="O42" s="34">
        <v>840000</v>
      </c>
      <c r="P42" s="26">
        <f t="shared" si="4"/>
        <v>179500</v>
      </c>
      <c r="Q42" s="26">
        <f t="shared" si="5"/>
        <v>5385</v>
      </c>
      <c r="R42" s="32">
        <f t="shared" si="6"/>
        <v>184885</v>
      </c>
    </row>
    <row r="43" spans="2:18" ht="15" thickBot="1">
      <c r="B43" s="33">
        <v>37</v>
      </c>
      <c r="C43" s="33">
        <v>65</v>
      </c>
      <c r="D43" s="33">
        <v>71</v>
      </c>
      <c r="E43" s="32">
        <f t="shared" si="0"/>
        <v>68</v>
      </c>
      <c r="F43" s="38" t="str">
        <f t="shared" si="1"/>
        <v>PASS</v>
      </c>
      <c r="G43" s="32" t="str">
        <f t="shared" si="2"/>
        <v>I</v>
      </c>
      <c r="M43" s="32">
        <v>21</v>
      </c>
      <c r="N43" s="33" t="s">
        <v>90</v>
      </c>
      <c r="O43" s="34">
        <v>890000</v>
      </c>
      <c r="P43" s="26">
        <f t="shared" si="4"/>
        <v>194500</v>
      </c>
      <c r="Q43" s="26">
        <f t="shared" si="5"/>
        <v>5835</v>
      </c>
      <c r="R43" s="32">
        <f t="shared" si="6"/>
        <v>200335</v>
      </c>
    </row>
    <row r="44" spans="2:18" ht="15" thickBot="1">
      <c r="B44" s="33">
        <v>38</v>
      </c>
      <c r="C44" s="33">
        <v>40</v>
      </c>
      <c r="D44" s="33">
        <v>69</v>
      </c>
      <c r="E44" s="32">
        <f t="shared" si="0"/>
        <v>54.5</v>
      </c>
      <c r="F44" s="38" t="str">
        <f t="shared" si="1"/>
        <v>PASS</v>
      </c>
      <c r="G44" s="32" t="str">
        <f t="shared" si="2"/>
        <v>II</v>
      </c>
      <c r="M44" s="32">
        <v>22</v>
      </c>
      <c r="N44" s="33" t="s">
        <v>91</v>
      </c>
      <c r="O44" s="34">
        <v>920000</v>
      </c>
      <c r="P44" s="26">
        <f t="shared" si="4"/>
        <v>203500</v>
      </c>
      <c r="Q44" s="26">
        <f t="shared" si="5"/>
        <v>6105</v>
      </c>
      <c r="R44" s="32">
        <f t="shared" si="6"/>
        <v>209605</v>
      </c>
    </row>
    <row r="45" spans="2:18" ht="15" thickBot="1">
      <c r="B45" s="33">
        <v>39</v>
      </c>
      <c r="C45" s="33">
        <v>36</v>
      </c>
      <c r="D45" s="33">
        <v>39</v>
      </c>
      <c r="E45" s="32">
        <f t="shared" si="0"/>
        <v>37.5</v>
      </c>
      <c r="F45" s="38" t="str">
        <f t="shared" si="1"/>
        <v>FAIL</v>
      </c>
      <c r="G45" s="32" t="str">
        <f t="shared" si="2"/>
        <v>IV</v>
      </c>
      <c r="M45" s="32">
        <v>23</v>
      </c>
      <c r="N45" s="33" t="s">
        <v>92</v>
      </c>
      <c r="O45" s="34">
        <v>950000</v>
      </c>
      <c r="P45" s="26">
        <f t="shared" si="4"/>
        <v>212500</v>
      </c>
      <c r="Q45" s="26">
        <f t="shared" si="5"/>
        <v>6375</v>
      </c>
      <c r="R45" s="32">
        <f t="shared" si="6"/>
        <v>218875</v>
      </c>
    </row>
    <row r="46" spans="2:18" ht="15" thickBot="1">
      <c r="B46" s="33">
        <v>40</v>
      </c>
      <c r="C46" s="33">
        <v>68</v>
      </c>
      <c r="D46" s="33">
        <v>75</v>
      </c>
      <c r="E46" s="32">
        <f t="shared" si="0"/>
        <v>71.5</v>
      </c>
      <c r="F46" s="38" t="str">
        <f t="shared" si="1"/>
        <v>PASS</v>
      </c>
      <c r="G46" s="32" t="str">
        <f t="shared" si="2"/>
        <v>I</v>
      </c>
      <c r="M46" s="32">
        <v>24</v>
      </c>
      <c r="N46" s="33" t="s">
        <v>93</v>
      </c>
      <c r="O46" s="34">
        <v>980000</v>
      </c>
      <c r="P46" s="26">
        <f t="shared" si="4"/>
        <v>221500</v>
      </c>
      <c r="Q46" s="26">
        <f t="shared" si="5"/>
        <v>6645</v>
      </c>
      <c r="R46" s="32">
        <f t="shared" si="6"/>
        <v>228145</v>
      </c>
    </row>
    <row r="47" spans="2:18" ht="15" thickBot="1">
      <c r="B47" s="33">
        <v>41</v>
      </c>
      <c r="C47" s="33">
        <v>51</v>
      </c>
      <c r="D47" s="33">
        <v>43</v>
      </c>
      <c r="E47" s="32">
        <f t="shared" si="0"/>
        <v>47</v>
      </c>
      <c r="F47" s="38" t="str">
        <f t="shared" si="1"/>
        <v>PASS</v>
      </c>
      <c r="G47" s="32" t="str">
        <f t="shared" si="2"/>
        <v>III</v>
      </c>
      <c r="M47" s="32">
        <v>25</v>
      </c>
      <c r="N47" s="33" t="s">
        <v>94</v>
      </c>
      <c r="O47" s="34">
        <v>1000000</v>
      </c>
      <c r="P47" s="26">
        <f t="shared" si="4"/>
        <v>227500</v>
      </c>
      <c r="Q47" s="26">
        <f t="shared" si="5"/>
        <v>6825</v>
      </c>
      <c r="R47" s="32">
        <f t="shared" si="6"/>
        <v>234325</v>
      </c>
    </row>
    <row r="48" spans="2:18" ht="15" thickBot="1">
      <c r="B48" s="33">
        <v>42</v>
      </c>
      <c r="C48" s="33">
        <v>29</v>
      </c>
      <c r="D48" s="33">
        <v>40</v>
      </c>
      <c r="E48" s="32">
        <f t="shared" si="0"/>
        <v>34.5</v>
      </c>
      <c r="F48" s="38" t="str">
        <f t="shared" si="1"/>
        <v>FAIL</v>
      </c>
      <c r="G48" s="32" t="str">
        <f t="shared" si="2"/>
        <v>IV</v>
      </c>
      <c r="M48" s="32">
        <v>26</v>
      </c>
      <c r="N48" s="33" t="s">
        <v>95</v>
      </c>
      <c r="O48" s="34">
        <v>1050000</v>
      </c>
      <c r="P48" s="26">
        <f t="shared" si="4"/>
        <v>242500</v>
      </c>
      <c r="Q48" s="26">
        <f t="shared" si="5"/>
        <v>7275</v>
      </c>
      <c r="R48" s="32">
        <f t="shared" si="6"/>
        <v>249775</v>
      </c>
    </row>
    <row r="49" spans="2:18" ht="15" thickBot="1">
      <c r="B49" s="33">
        <v>43</v>
      </c>
      <c r="C49" s="33">
        <v>73</v>
      </c>
      <c r="D49" s="33">
        <v>56</v>
      </c>
      <c r="E49" s="32">
        <f t="shared" si="0"/>
        <v>64.5</v>
      </c>
      <c r="F49" s="38" t="str">
        <f t="shared" si="1"/>
        <v>PASS</v>
      </c>
      <c r="G49" s="32" t="str">
        <f t="shared" si="2"/>
        <v>I</v>
      </c>
      <c r="M49" s="32">
        <v>27</v>
      </c>
      <c r="N49" s="33" t="s">
        <v>96</v>
      </c>
      <c r="O49" s="34">
        <v>1100000</v>
      </c>
      <c r="P49" s="26">
        <f t="shared" si="4"/>
        <v>257500</v>
      </c>
      <c r="Q49" s="26">
        <f t="shared" si="5"/>
        <v>7725</v>
      </c>
      <c r="R49" s="32">
        <f t="shared" si="6"/>
        <v>265225</v>
      </c>
    </row>
    <row r="50" spans="2:18" ht="15" thickBot="1">
      <c r="B50" s="33">
        <v>44</v>
      </c>
      <c r="C50" s="33">
        <v>84</v>
      </c>
      <c r="D50" s="33">
        <v>65</v>
      </c>
      <c r="E50" s="32">
        <f t="shared" si="0"/>
        <v>74.5</v>
      </c>
      <c r="F50" s="38" t="str">
        <f t="shared" si="1"/>
        <v>PASS</v>
      </c>
      <c r="G50" s="32" t="str">
        <f t="shared" si="2"/>
        <v>I</v>
      </c>
      <c r="M50" s="32">
        <v>28</v>
      </c>
      <c r="N50" s="33" t="s">
        <v>97</v>
      </c>
      <c r="O50" s="34">
        <v>1140000</v>
      </c>
      <c r="P50" s="26">
        <f t="shared" si="4"/>
        <v>269500</v>
      </c>
      <c r="Q50" s="26">
        <f t="shared" si="5"/>
        <v>8085</v>
      </c>
      <c r="R50" s="32">
        <f t="shared" si="6"/>
        <v>277585</v>
      </c>
    </row>
    <row r="51" spans="2:18" ht="15" thickBot="1">
      <c r="B51" s="33">
        <v>45</v>
      </c>
      <c r="C51" s="33">
        <v>90</v>
      </c>
      <c r="D51" s="33">
        <v>77</v>
      </c>
      <c r="E51" s="32">
        <f t="shared" si="0"/>
        <v>83.5</v>
      </c>
      <c r="F51" s="38" t="str">
        <f t="shared" si="1"/>
        <v>PASS</v>
      </c>
      <c r="G51" s="32" t="str">
        <f t="shared" si="2"/>
        <v>I</v>
      </c>
      <c r="M51" s="32">
        <v>29</v>
      </c>
      <c r="N51" s="33" t="s">
        <v>98</v>
      </c>
      <c r="O51" s="34">
        <v>1180000</v>
      </c>
      <c r="P51" s="26">
        <f t="shared" si="4"/>
        <v>281500</v>
      </c>
      <c r="Q51" s="26">
        <f t="shared" si="5"/>
        <v>8445</v>
      </c>
      <c r="R51" s="32">
        <f t="shared" si="6"/>
        <v>289945</v>
      </c>
    </row>
    <row r="52" spans="2:18" ht="15" thickBot="1">
      <c r="B52" s="33">
        <v>46</v>
      </c>
      <c r="C52" s="33">
        <v>44</v>
      </c>
      <c r="D52" s="33">
        <v>42</v>
      </c>
      <c r="E52" s="32">
        <f t="shared" si="0"/>
        <v>43</v>
      </c>
      <c r="F52" s="38" t="str">
        <f t="shared" si="1"/>
        <v>PASS</v>
      </c>
      <c r="G52" s="32" t="str">
        <f t="shared" si="2"/>
        <v>III</v>
      </c>
      <c r="M52" s="32">
        <v>30</v>
      </c>
      <c r="N52" s="33" t="s">
        <v>99</v>
      </c>
      <c r="O52" s="34">
        <v>1210000</v>
      </c>
      <c r="P52" s="26">
        <f t="shared" si="4"/>
        <v>290500</v>
      </c>
      <c r="Q52" s="26">
        <f t="shared" si="5"/>
        <v>8715</v>
      </c>
      <c r="R52" s="32">
        <f t="shared" si="6"/>
        <v>299215</v>
      </c>
    </row>
    <row r="53" spans="2:18" ht="15" thickBot="1">
      <c r="B53" s="33">
        <v>47</v>
      </c>
      <c r="C53" s="33">
        <v>59</v>
      </c>
      <c r="D53" s="33">
        <v>47</v>
      </c>
      <c r="E53" s="32">
        <f t="shared" si="0"/>
        <v>53</v>
      </c>
      <c r="F53" s="38" t="str">
        <f t="shared" si="1"/>
        <v>PASS</v>
      </c>
      <c r="G53" s="32" t="str">
        <f t="shared" si="2"/>
        <v>II</v>
      </c>
      <c r="M53" s="32">
        <v>31</v>
      </c>
      <c r="N53" s="33" t="s">
        <v>100</v>
      </c>
      <c r="O53" s="34">
        <v>1240000</v>
      </c>
      <c r="P53" s="26">
        <f t="shared" si="4"/>
        <v>299500</v>
      </c>
      <c r="Q53" s="26">
        <f t="shared" si="5"/>
        <v>8985</v>
      </c>
      <c r="R53" s="32">
        <f t="shared" si="6"/>
        <v>308485</v>
      </c>
    </row>
    <row r="54" spans="2:18" ht="15" thickBot="1">
      <c r="B54" s="33">
        <v>48</v>
      </c>
      <c r="C54" s="33">
        <v>37</v>
      </c>
      <c r="D54" s="33">
        <v>34</v>
      </c>
      <c r="E54" s="32">
        <f t="shared" si="0"/>
        <v>35.5</v>
      </c>
      <c r="F54" s="38" t="str">
        <f t="shared" si="1"/>
        <v>FAIL</v>
      </c>
      <c r="G54" s="32" t="str">
        <f t="shared" si="2"/>
        <v>IV</v>
      </c>
      <c r="M54" s="32">
        <v>32</v>
      </c>
      <c r="N54" s="33" t="s">
        <v>101</v>
      </c>
      <c r="O54" s="34">
        <v>1270000</v>
      </c>
      <c r="P54" s="26">
        <f t="shared" si="4"/>
        <v>308500</v>
      </c>
      <c r="Q54" s="26">
        <f t="shared" si="5"/>
        <v>9255</v>
      </c>
      <c r="R54" s="32">
        <f t="shared" si="6"/>
        <v>317755</v>
      </c>
    </row>
    <row r="55" spans="2:18" ht="15" thickBot="1">
      <c r="B55" s="33">
        <v>49</v>
      </c>
      <c r="C55" s="33">
        <v>85</v>
      </c>
      <c r="D55" s="33">
        <v>93</v>
      </c>
      <c r="E55" s="32">
        <f t="shared" si="0"/>
        <v>89</v>
      </c>
      <c r="F55" s="38" t="str">
        <f t="shared" si="1"/>
        <v>PASS</v>
      </c>
      <c r="G55" s="32" t="str">
        <f t="shared" si="2"/>
        <v>I</v>
      </c>
      <c r="M55" s="32">
        <v>33</v>
      </c>
      <c r="N55" s="33" t="s">
        <v>102</v>
      </c>
      <c r="O55" s="34">
        <v>1300000</v>
      </c>
      <c r="P55" s="26">
        <f t="shared" si="4"/>
        <v>317500</v>
      </c>
      <c r="Q55" s="26">
        <f t="shared" si="5"/>
        <v>9525</v>
      </c>
      <c r="R55" s="32">
        <f t="shared" si="6"/>
        <v>327025</v>
      </c>
    </row>
    <row r="56" spans="2:18" ht="15" thickBot="1">
      <c r="B56" s="33">
        <v>50</v>
      </c>
      <c r="C56" s="33">
        <v>66</v>
      </c>
      <c r="D56" s="33">
        <v>60</v>
      </c>
      <c r="E56" s="32">
        <f t="shared" si="0"/>
        <v>63</v>
      </c>
      <c r="F56" s="38" t="str">
        <f t="shared" si="1"/>
        <v>PASS</v>
      </c>
      <c r="G56" s="32" t="str">
        <f t="shared" si="2"/>
        <v>I</v>
      </c>
      <c r="M56" s="32">
        <v>34</v>
      </c>
      <c r="N56" s="33" t="s">
        <v>103</v>
      </c>
      <c r="O56" s="34">
        <v>1330000</v>
      </c>
      <c r="P56" s="26">
        <f t="shared" si="4"/>
        <v>326500</v>
      </c>
      <c r="Q56" s="26">
        <f t="shared" si="5"/>
        <v>9795</v>
      </c>
      <c r="R56" s="32">
        <f t="shared" si="6"/>
        <v>336295</v>
      </c>
    </row>
    <row r="57" spans="2:18" ht="15" thickBot="1">
      <c r="M57" s="32">
        <v>35</v>
      </c>
      <c r="N57" s="33" t="s">
        <v>104</v>
      </c>
      <c r="O57" s="34">
        <v>1360000</v>
      </c>
      <c r="P57" s="26">
        <f t="shared" si="4"/>
        <v>335500</v>
      </c>
      <c r="Q57" s="26">
        <f t="shared" si="5"/>
        <v>10065</v>
      </c>
      <c r="R57" s="32">
        <f t="shared" si="6"/>
        <v>345565</v>
      </c>
    </row>
    <row r="58" spans="2:18" ht="15" thickBot="1">
      <c r="M58" s="32">
        <v>36</v>
      </c>
      <c r="N58" s="33" t="s">
        <v>105</v>
      </c>
      <c r="O58" s="34">
        <v>1400000</v>
      </c>
      <c r="P58" s="26">
        <f t="shared" si="4"/>
        <v>347500</v>
      </c>
      <c r="Q58" s="26">
        <f t="shared" si="5"/>
        <v>10425</v>
      </c>
      <c r="R58" s="32">
        <f t="shared" si="6"/>
        <v>357925</v>
      </c>
    </row>
    <row r="59" spans="2:18" ht="15" thickBot="1">
      <c r="M59" s="32">
        <v>37</v>
      </c>
      <c r="N59" s="33" t="s">
        <v>106</v>
      </c>
      <c r="O59" s="34">
        <v>1430000</v>
      </c>
      <c r="P59" s="26">
        <f t="shared" si="4"/>
        <v>356500</v>
      </c>
      <c r="Q59" s="26">
        <f t="shared" si="5"/>
        <v>10695</v>
      </c>
      <c r="R59" s="32">
        <f t="shared" si="6"/>
        <v>367195</v>
      </c>
    </row>
    <row r="60" spans="2:18" ht="15" thickBot="1">
      <c r="M60" s="32">
        <v>38</v>
      </c>
      <c r="N60" s="33" t="s">
        <v>107</v>
      </c>
      <c r="O60" s="34">
        <v>1460000</v>
      </c>
      <c r="P60" s="26">
        <f t="shared" si="4"/>
        <v>365500</v>
      </c>
      <c r="Q60" s="26">
        <f t="shared" si="5"/>
        <v>10965</v>
      </c>
      <c r="R60" s="32">
        <f t="shared" si="6"/>
        <v>376465</v>
      </c>
    </row>
    <row r="61" spans="2:18" ht="15" thickBot="1">
      <c r="M61" s="32">
        <v>39</v>
      </c>
      <c r="N61" s="33" t="s">
        <v>108</v>
      </c>
      <c r="O61" s="34">
        <v>1500000</v>
      </c>
      <c r="P61" s="26">
        <f t="shared" si="4"/>
        <v>377500</v>
      </c>
      <c r="Q61" s="26">
        <f t="shared" si="5"/>
        <v>11325</v>
      </c>
      <c r="R61" s="32">
        <f t="shared" si="6"/>
        <v>388825</v>
      </c>
    </row>
    <row r="62" spans="2:18" ht="15" thickBot="1">
      <c r="M62" s="32">
        <v>40</v>
      </c>
      <c r="N62" s="33" t="s">
        <v>109</v>
      </c>
      <c r="O62" s="34">
        <v>1540000</v>
      </c>
      <c r="P62" s="26">
        <f t="shared" si="4"/>
        <v>389500</v>
      </c>
      <c r="Q62" s="26">
        <f t="shared" si="5"/>
        <v>11685</v>
      </c>
      <c r="R62" s="32">
        <f t="shared" si="6"/>
        <v>401185</v>
      </c>
    </row>
    <row r="63" spans="2:18" ht="15" thickBot="1">
      <c r="M63" s="32">
        <v>41</v>
      </c>
      <c r="N63" s="33" t="s">
        <v>110</v>
      </c>
      <c r="O63" s="34">
        <v>1570000</v>
      </c>
      <c r="P63" s="26">
        <f t="shared" si="4"/>
        <v>398500</v>
      </c>
      <c r="Q63" s="26">
        <f t="shared" si="5"/>
        <v>11955</v>
      </c>
      <c r="R63" s="32">
        <f t="shared" si="6"/>
        <v>410455</v>
      </c>
    </row>
    <row r="64" spans="2:18" ht="15" thickBot="1">
      <c r="M64" s="32">
        <v>42</v>
      </c>
      <c r="N64" s="33" t="s">
        <v>111</v>
      </c>
      <c r="O64" s="34">
        <v>1600000</v>
      </c>
      <c r="P64" s="26">
        <f t="shared" si="4"/>
        <v>407500</v>
      </c>
      <c r="Q64" s="26">
        <f t="shared" si="5"/>
        <v>12225</v>
      </c>
      <c r="R64" s="32">
        <f t="shared" si="6"/>
        <v>419725</v>
      </c>
    </row>
    <row r="65" spans="13:18" ht="15" thickBot="1">
      <c r="M65" s="32">
        <v>43</v>
      </c>
      <c r="N65" s="33" t="s">
        <v>112</v>
      </c>
      <c r="O65" s="34">
        <v>1630000</v>
      </c>
      <c r="P65" s="26">
        <f t="shared" si="4"/>
        <v>416500</v>
      </c>
      <c r="Q65" s="26">
        <f t="shared" si="5"/>
        <v>12495</v>
      </c>
      <c r="R65" s="32">
        <f t="shared" si="6"/>
        <v>428995</v>
      </c>
    </row>
    <row r="66" spans="13:18" ht="15" thickBot="1">
      <c r="M66" s="32">
        <v>44</v>
      </c>
      <c r="N66" s="33" t="s">
        <v>113</v>
      </c>
      <c r="O66" s="34">
        <v>1670000</v>
      </c>
      <c r="P66" s="26">
        <f t="shared" si="4"/>
        <v>428500</v>
      </c>
      <c r="Q66" s="26">
        <f t="shared" si="5"/>
        <v>12855</v>
      </c>
      <c r="R66" s="32">
        <f t="shared" si="6"/>
        <v>441355</v>
      </c>
    </row>
    <row r="67" spans="13:18" ht="15" thickBot="1">
      <c r="M67" s="32">
        <v>45</v>
      </c>
      <c r="N67" s="33" t="s">
        <v>114</v>
      </c>
      <c r="O67" s="34">
        <v>1700000</v>
      </c>
      <c r="P67" s="26">
        <f t="shared" si="4"/>
        <v>437500</v>
      </c>
      <c r="Q67" s="26">
        <f t="shared" si="5"/>
        <v>13125</v>
      </c>
      <c r="R67" s="32">
        <f t="shared" si="6"/>
        <v>450625</v>
      </c>
    </row>
    <row r="68" spans="13:18" ht="15" thickBot="1">
      <c r="M68" s="32">
        <v>46</v>
      </c>
      <c r="N68" s="33" t="s">
        <v>115</v>
      </c>
      <c r="O68" s="34">
        <v>1740000</v>
      </c>
      <c r="P68" s="26">
        <f t="shared" si="4"/>
        <v>449500</v>
      </c>
      <c r="Q68" s="26">
        <f t="shared" si="5"/>
        <v>13485</v>
      </c>
      <c r="R68" s="32">
        <f t="shared" si="6"/>
        <v>462985</v>
      </c>
    </row>
    <row r="69" spans="13:18" ht="15" thickBot="1">
      <c r="M69" s="32">
        <v>47</v>
      </c>
      <c r="N69" s="33" t="s">
        <v>116</v>
      </c>
      <c r="O69" s="34">
        <v>1770000</v>
      </c>
      <c r="P69" s="26">
        <f t="shared" si="4"/>
        <v>458500</v>
      </c>
      <c r="Q69" s="26">
        <f t="shared" si="5"/>
        <v>13755</v>
      </c>
      <c r="R69" s="32">
        <f t="shared" si="6"/>
        <v>472255</v>
      </c>
    </row>
    <row r="70" spans="13:18" ht="15" thickBot="1">
      <c r="M70" s="32">
        <v>48</v>
      </c>
      <c r="N70" s="33" t="s">
        <v>117</v>
      </c>
      <c r="O70" s="34">
        <v>1800000</v>
      </c>
      <c r="P70" s="26">
        <f t="shared" si="4"/>
        <v>467500</v>
      </c>
      <c r="Q70" s="26">
        <f t="shared" si="5"/>
        <v>14025</v>
      </c>
      <c r="R70" s="32">
        <f t="shared" si="6"/>
        <v>481525</v>
      </c>
    </row>
    <row r="71" spans="13:18" ht="15" thickBot="1">
      <c r="M71" s="32">
        <v>49</v>
      </c>
      <c r="N71" s="33" t="s">
        <v>118</v>
      </c>
      <c r="O71" s="34">
        <v>1850000</v>
      </c>
      <c r="P71" s="26">
        <f t="shared" si="4"/>
        <v>482500</v>
      </c>
      <c r="Q71" s="26">
        <f t="shared" si="5"/>
        <v>14475</v>
      </c>
      <c r="R71" s="32">
        <f t="shared" si="6"/>
        <v>496975</v>
      </c>
    </row>
    <row r="72" spans="13:18" ht="15" thickBot="1">
      <c r="M72" s="32">
        <v>50</v>
      </c>
      <c r="N72" s="33" t="s">
        <v>119</v>
      </c>
      <c r="O72" s="34">
        <v>1900000</v>
      </c>
      <c r="P72" s="26">
        <f t="shared" si="4"/>
        <v>497500</v>
      </c>
      <c r="Q72" s="26">
        <f t="shared" si="5"/>
        <v>14925</v>
      </c>
      <c r="R72" s="32">
        <f t="shared" si="6"/>
        <v>512425</v>
      </c>
    </row>
  </sheetData>
  <customSheetViews>
    <customSheetView guid="{8FE9C7E0-3B4A-4089-940B-F6B542D91A57}" scale="55">
      <selection activeCell="H15" sqref="H15"/>
      <pageMargins left="0.7" right="0.7" top="0.75" bottom="0.75" header="0.3" footer="0.3"/>
      <pageSetup orientation="portrait" r:id="rId1"/>
    </customSheetView>
  </customSheetViews>
  <mergeCells count="4">
    <mergeCell ref="B5:J5"/>
    <mergeCell ref="M5:S5"/>
    <mergeCell ref="M21:U21"/>
    <mergeCell ref="A1:W3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5C3C-7DFB-4CB0-838D-2BD3CE69BD35}">
  <sheetPr filterMode="1"/>
  <dimension ref="A1:U109"/>
  <sheetViews>
    <sheetView zoomScale="80" zoomScaleNormal="80" workbookViewId="0">
      <selection activeCell="J10" sqref="J10"/>
    </sheetView>
  </sheetViews>
  <sheetFormatPr defaultRowHeight="14.4"/>
  <cols>
    <col min="1" max="2" width="8.88671875" style="25"/>
    <col min="3" max="7" width="11.77734375" style="25" customWidth="1"/>
    <col min="8" max="15" width="8.88671875" style="25"/>
    <col min="16" max="16" width="12.6640625" style="25" customWidth="1"/>
    <col min="17" max="16384" width="8.88671875" style="25"/>
  </cols>
  <sheetData>
    <row r="1" spans="1:21" s="30" customFormat="1">
      <c r="A1" s="22" t="s">
        <v>174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s="30" customForma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s="30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 s="24" customFormat="1" ht="25.2" thickBot="1"/>
    <row r="5" spans="1:21" ht="15" thickBot="1">
      <c r="B5" s="84" t="s">
        <v>136</v>
      </c>
      <c r="C5" s="84"/>
      <c r="D5" s="84"/>
      <c r="E5" s="84"/>
      <c r="F5" s="84"/>
      <c r="G5" s="84"/>
      <c r="K5" s="84" t="s">
        <v>137</v>
      </c>
      <c r="L5" s="84"/>
      <c r="M5" s="84"/>
      <c r="N5" s="84"/>
      <c r="O5" s="84"/>
      <c r="P5" s="84"/>
    </row>
    <row r="6" spans="1:21" ht="15" thickBot="1">
      <c r="B6" s="86" t="s">
        <v>47</v>
      </c>
      <c r="C6" s="87" t="s">
        <v>48</v>
      </c>
      <c r="D6" s="87" t="s">
        <v>132</v>
      </c>
      <c r="E6" s="87" t="s">
        <v>133</v>
      </c>
      <c r="F6" s="87" t="s">
        <v>134</v>
      </c>
      <c r="G6" s="87" t="s">
        <v>135</v>
      </c>
      <c r="K6" s="86" t="s">
        <v>47</v>
      </c>
      <c r="L6" s="87" t="s">
        <v>48</v>
      </c>
      <c r="M6" s="87" t="s">
        <v>138</v>
      </c>
      <c r="N6" s="87" t="s">
        <v>139</v>
      </c>
      <c r="O6" s="87" t="s">
        <v>140</v>
      </c>
      <c r="P6" s="87" t="s">
        <v>141</v>
      </c>
    </row>
    <row r="7" spans="1:21" ht="15" thickBot="1">
      <c r="B7" s="26">
        <v>1</v>
      </c>
      <c r="C7" s="27" t="s">
        <v>13</v>
      </c>
      <c r="D7" s="27" t="s">
        <v>120</v>
      </c>
      <c r="E7" s="27" t="s">
        <v>121</v>
      </c>
      <c r="F7" s="27" t="s">
        <v>122</v>
      </c>
      <c r="G7" s="27">
        <v>3000</v>
      </c>
      <c r="K7" s="26">
        <v>1</v>
      </c>
      <c r="L7" s="27" t="s">
        <v>13</v>
      </c>
      <c r="M7" s="27">
        <v>30</v>
      </c>
      <c r="N7" s="27">
        <v>34</v>
      </c>
      <c r="O7" s="27">
        <v>44</v>
      </c>
      <c r="P7" s="27">
        <f>M7+N7+O7</f>
        <v>108</v>
      </c>
    </row>
    <row r="8" spans="1:21" ht="15" thickBot="1">
      <c r="B8" s="26">
        <v>2</v>
      </c>
      <c r="C8" s="27" t="s">
        <v>14</v>
      </c>
      <c r="D8" s="27" t="s">
        <v>120</v>
      </c>
      <c r="E8" s="27" t="s">
        <v>123</v>
      </c>
      <c r="F8" s="27" t="s">
        <v>124</v>
      </c>
      <c r="G8" s="27">
        <v>1000</v>
      </c>
      <c r="K8" s="26">
        <v>2</v>
      </c>
      <c r="L8" s="27" t="s">
        <v>14</v>
      </c>
      <c r="M8" s="27">
        <v>40</v>
      </c>
      <c r="N8" s="27">
        <v>35</v>
      </c>
      <c r="O8" s="27">
        <v>45</v>
      </c>
      <c r="P8" s="27">
        <f t="shared" ref="P8:P16" si="0">M8+N8+O8</f>
        <v>120</v>
      </c>
    </row>
    <row r="9" spans="1:21" ht="15" thickBot="1">
      <c r="B9" s="26">
        <v>3</v>
      </c>
      <c r="C9" s="27" t="s">
        <v>15</v>
      </c>
      <c r="D9" s="27" t="s">
        <v>120</v>
      </c>
      <c r="E9" s="27" t="s">
        <v>125</v>
      </c>
      <c r="F9" s="27" t="s">
        <v>124</v>
      </c>
      <c r="G9" s="27">
        <v>1000</v>
      </c>
      <c r="K9" s="26">
        <v>3</v>
      </c>
      <c r="L9" s="27" t="s">
        <v>15</v>
      </c>
      <c r="M9" s="27">
        <v>45</v>
      </c>
      <c r="N9" s="27">
        <v>36</v>
      </c>
      <c r="O9" s="27">
        <v>47</v>
      </c>
      <c r="P9" s="27">
        <f t="shared" si="0"/>
        <v>128</v>
      </c>
    </row>
    <row r="10" spans="1:21" ht="15" thickBot="1">
      <c r="B10" s="26">
        <v>4</v>
      </c>
      <c r="C10" s="27" t="s">
        <v>16</v>
      </c>
      <c r="D10" s="27" t="s">
        <v>126</v>
      </c>
      <c r="E10" s="27" t="s">
        <v>121</v>
      </c>
      <c r="F10" s="27" t="s">
        <v>124</v>
      </c>
      <c r="G10" s="27">
        <v>500</v>
      </c>
      <c r="K10" s="26">
        <v>4</v>
      </c>
      <c r="L10" s="27" t="s">
        <v>16</v>
      </c>
      <c r="M10" s="27">
        <v>48</v>
      </c>
      <c r="N10" s="27">
        <v>32</v>
      </c>
      <c r="O10" s="27">
        <v>50</v>
      </c>
      <c r="P10" s="27">
        <f t="shared" si="0"/>
        <v>130</v>
      </c>
    </row>
    <row r="11" spans="1:21" ht="15" thickBot="1">
      <c r="B11" s="26">
        <v>5</v>
      </c>
      <c r="C11" s="27" t="s">
        <v>17</v>
      </c>
      <c r="D11" s="27" t="s">
        <v>126</v>
      </c>
      <c r="E11" s="27" t="s">
        <v>121</v>
      </c>
      <c r="F11" s="27" t="s">
        <v>122</v>
      </c>
      <c r="G11" s="27">
        <v>3000</v>
      </c>
      <c r="K11" s="26">
        <v>5</v>
      </c>
      <c r="L11" s="27" t="s">
        <v>17</v>
      </c>
      <c r="M11" s="27">
        <v>35</v>
      </c>
      <c r="N11" s="27">
        <v>32</v>
      </c>
      <c r="O11" s="27">
        <v>43</v>
      </c>
      <c r="P11" s="27">
        <f t="shared" si="0"/>
        <v>110</v>
      </c>
    </row>
    <row r="12" spans="1:21" ht="15" thickBot="1">
      <c r="B12" s="26">
        <v>6</v>
      </c>
      <c r="C12" s="27" t="s">
        <v>18</v>
      </c>
      <c r="D12" s="27" t="s">
        <v>126</v>
      </c>
      <c r="E12" s="27" t="s">
        <v>125</v>
      </c>
      <c r="F12" s="27" t="s">
        <v>122</v>
      </c>
      <c r="G12" s="27">
        <v>5000</v>
      </c>
      <c r="K12" s="26">
        <v>6</v>
      </c>
      <c r="L12" s="27" t="s">
        <v>18</v>
      </c>
      <c r="M12" s="27">
        <v>32</v>
      </c>
      <c r="N12" s="27">
        <v>31</v>
      </c>
      <c r="O12" s="27">
        <v>37</v>
      </c>
      <c r="P12" s="27">
        <f t="shared" si="0"/>
        <v>100</v>
      </c>
    </row>
    <row r="13" spans="1:21" ht="15" thickBot="1">
      <c r="B13" s="26">
        <v>7</v>
      </c>
      <c r="C13" s="27" t="s">
        <v>19</v>
      </c>
      <c r="D13" s="27" t="s">
        <v>126</v>
      </c>
      <c r="E13" s="27" t="s">
        <v>123</v>
      </c>
      <c r="F13" s="27" t="s">
        <v>122</v>
      </c>
      <c r="G13" s="27">
        <v>4000</v>
      </c>
      <c r="K13" s="26">
        <v>7</v>
      </c>
      <c r="L13" s="27" t="s">
        <v>19</v>
      </c>
      <c r="M13" s="27">
        <v>36</v>
      </c>
      <c r="N13" s="27">
        <v>28</v>
      </c>
      <c r="O13" s="27">
        <v>38</v>
      </c>
      <c r="P13" s="27">
        <f t="shared" si="0"/>
        <v>102</v>
      </c>
    </row>
    <row r="14" spans="1:21" ht="15" thickBot="1">
      <c r="B14" s="26">
        <v>8</v>
      </c>
      <c r="C14" s="27" t="s">
        <v>20</v>
      </c>
      <c r="D14" s="27" t="s">
        <v>126</v>
      </c>
      <c r="E14" s="27" t="s">
        <v>123</v>
      </c>
      <c r="F14" s="27" t="s">
        <v>124</v>
      </c>
      <c r="G14" s="27">
        <v>1000</v>
      </c>
      <c r="K14" s="26">
        <v>8</v>
      </c>
      <c r="L14" s="27" t="s">
        <v>20</v>
      </c>
      <c r="M14" s="27">
        <v>23</v>
      </c>
      <c r="N14" s="27">
        <v>25</v>
      </c>
      <c r="O14" s="27">
        <v>40</v>
      </c>
      <c r="P14" s="27">
        <f t="shared" si="0"/>
        <v>88</v>
      </c>
    </row>
    <row r="15" spans="1:21" ht="15" thickBot="1">
      <c r="B15" s="26">
        <v>9</v>
      </c>
      <c r="C15" s="27" t="s">
        <v>127</v>
      </c>
      <c r="D15" s="27" t="s">
        <v>120</v>
      </c>
      <c r="E15" s="27" t="s">
        <v>125</v>
      </c>
      <c r="F15" s="27" t="s">
        <v>124</v>
      </c>
      <c r="G15" s="27">
        <v>1000</v>
      </c>
      <c r="K15" s="26">
        <v>9</v>
      </c>
      <c r="L15" s="27" t="s">
        <v>21</v>
      </c>
      <c r="M15" s="27">
        <v>43</v>
      </c>
      <c r="N15" s="27">
        <v>27</v>
      </c>
      <c r="O15" s="27">
        <v>50</v>
      </c>
      <c r="P15" s="27">
        <f t="shared" si="0"/>
        <v>120</v>
      </c>
    </row>
    <row r="16" spans="1:21" ht="15" thickBot="1">
      <c r="B16" s="26">
        <v>10</v>
      </c>
      <c r="C16" s="27" t="s">
        <v>128</v>
      </c>
      <c r="D16" s="27" t="s">
        <v>120</v>
      </c>
      <c r="E16" s="27" t="s">
        <v>125</v>
      </c>
      <c r="F16" s="27" t="s">
        <v>122</v>
      </c>
      <c r="G16" s="27">
        <v>5000</v>
      </c>
      <c r="K16" s="26">
        <v>10</v>
      </c>
      <c r="L16" s="27" t="s">
        <v>22</v>
      </c>
      <c r="M16" s="27">
        <v>37</v>
      </c>
      <c r="N16" s="27">
        <v>44</v>
      </c>
      <c r="O16" s="27">
        <v>46</v>
      </c>
      <c r="P16" s="27">
        <f t="shared" si="0"/>
        <v>127</v>
      </c>
    </row>
    <row r="17" spans="2:16" ht="15" thickBot="1">
      <c r="B17" s="26">
        <v>11</v>
      </c>
      <c r="C17" s="27" t="s">
        <v>129</v>
      </c>
      <c r="D17" s="27" t="s">
        <v>126</v>
      </c>
      <c r="E17" s="27" t="s">
        <v>121</v>
      </c>
      <c r="F17" s="27" t="s">
        <v>122</v>
      </c>
      <c r="G17" s="27">
        <v>3000</v>
      </c>
    </row>
    <row r="18" spans="2:16" ht="15" thickBot="1">
      <c r="B18" s="26">
        <v>12</v>
      </c>
      <c r="C18" s="27" t="s">
        <v>130</v>
      </c>
      <c r="D18" s="27" t="s">
        <v>126</v>
      </c>
      <c r="E18" s="27" t="s">
        <v>121</v>
      </c>
      <c r="F18" s="27" t="s">
        <v>124</v>
      </c>
      <c r="G18" s="27">
        <v>500</v>
      </c>
    </row>
    <row r="19" spans="2:16" ht="15" thickBot="1">
      <c r="B19" s="26">
        <v>13</v>
      </c>
      <c r="C19" s="27" t="s">
        <v>21</v>
      </c>
      <c r="D19" s="27" t="s">
        <v>120</v>
      </c>
      <c r="E19" s="27" t="s">
        <v>121</v>
      </c>
      <c r="F19" s="27" t="s">
        <v>124</v>
      </c>
      <c r="G19" s="27">
        <v>500</v>
      </c>
      <c r="K19" s="85" t="s">
        <v>145</v>
      </c>
      <c r="L19" s="85"/>
      <c r="M19" s="85"/>
      <c r="N19" s="85"/>
      <c r="O19" s="85"/>
      <c r="P19" s="85"/>
    </row>
    <row r="20" spans="2:16" ht="15" thickBot="1">
      <c r="B20" s="26">
        <v>14</v>
      </c>
      <c r="C20" s="27" t="s">
        <v>22</v>
      </c>
      <c r="D20" s="27" t="s">
        <v>126</v>
      </c>
      <c r="E20" s="27" t="s">
        <v>125</v>
      </c>
      <c r="F20" s="27" t="s">
        <v>122</v>
      </c>
      <c r="G20" s="27">
        <v>5000</v>
      </c>
    </row>
    <row r="21" spans="2:16" ht="15" thickBot="1">
      <c r="B21" s="26">
        <v>15</v>
      </c>
      <c r="C21" s="27" t="s">
        <v>131</v>
      </c>
      <c r="D21" s="27" t="s">
        <v>120</v>
      </c>
      <c r="E21" s="27" t="s">
        <v>123</v>
      </c>
      <c r="F21" s="27" t="s">
        <v>122</v>
      </c>
      <c r="G21" s="27">
        <v>4000</v>
      </c>
    </row>
    <row r="23" spans="2:16" ht="15" thickBot="1"/>
    <row r="24" spans="2:16" ht="15" thickBot="1">
      <c r="B24" s="23" t="s">
        <v>142</v>
      </c>
      <c r="C24" s="23"/>
      <c r="D24" s="23"/>
      <c r="E24" s="23"/>
      <c r="F24" s="23"/>
    </row>
    <row r="25" spans="2:16" ht="15" thickBot="1">
      <c r="B25" s="87" t="s">
        <v>48</v>
      </c>
      <c r="C25" s="87" t="s">
        <v>132</v>
      </c>
      <c r="D25" s="87" t="s">
        <v>133</v>
      </c>
      <c r="E25" s="87" t="s">
        <v>134</v>
      </c>
      <c r="F25" s="87" t="s">
        <v>135</v>
      </c>
    </row>
    <row r="26" spans="2:16" customFormat="1" hidden="1">
      <c r="B26" s="3" t="s">
        <v>13</v>
      </c>
      <c r="C26" s="3" t="s">
        <v>120</v>
      </c>
      <c r="D26" s="3" t="s">
        <v>121</v>
      </c>
      <c r="E26" s="3" t="s">
        <v>122</v>
      </c>
      <c r="F26" s="3">
        <v>3000</v>
      </c>
    </row>
    <row r="27" spans="2:16" customFormat="1" hidden="1">
      <c r="B27" s="3" t="s">
        <v>14</v>
      </c>
      <c r="C27" s="3" t="s">
        <v>120</v>
      </c>
      <c r="D27" s="3" t="s">
        <v>123</v>
      </c>
      <c r="E27" s="3" t="s">
        <v>124</v>
      </c>
      <c r="F27" s="3">
        <v>1000</v>
      </c>
    </row>
    <row r="28" spans="2:16" customFormat="1" hidden="1">
      <c r="B28" s="3" t="s">
        <v>15</v>
      </c>
      <c r="C28" s="3" t="s">
        <v>120</v>
      </c>
      <c r="D28" s="3" t="s">
        <v>125</v>
      </c>
      <c r="E28" s="3" t="s">
        <v>124</v>
      </c>
      <c r="F28" s="3">
        <v>1000</v>
      </c>
    </row>
    <row r="29" spans="2:16" ht="15" thickBot="1">
      <c r="B29" s="27" t="s">
        <v>16</v>
      </c>
      <c r="C29" s="27" t="s">
        <v>126</v>
      </c>
      <c r="D29" s="27" t="s">
        <v>121</v>
      </c>
      <c r="E29" s="27" t="s">
        <v>124</v>
      </c>
      <c r="F29" s="27">
        <v>500</v>
      </c>
    </row>
    <row r="30" spans="2:16" customFormat="1" hidden="1">
      <c r="B30" s="3" t="s">
        <v>17</v>
      </c>
      <c r="C30" s="3" t="s">
        <v>126</v>
      </c>
      <c r="D30" s="3" t="s">
        <v>121</v>
      </c>
      <c r="E30" s="3" t="s">
        <v>122</v>
      </c>
      <c r="F30" s="3">
        <v>3000</v>
      </c>
    </row>
    <row r="31" spans="2:16" customFormat="1" hidden="1">
      <c r="B31" s="3" t="s">
        <v>18</v>
      </c>
      <c r="C31" s="3" t="s">
        <v>126</v>
      </c>
      <c r="D31" s="3" t="s">
        <v>125</v>
      </c>
      <c r="E31" s="3" t="s">
        <v>122</v>
      </c>
      <c r="F31" s="3">
        <v>5000</v>
      </c>
    </row>
    <row r="32" spans="2:16" customFormat="1" hidden="1">
      <c r="B32" s="3" t="s">
        <v>19</v>
      </c>
      <c r="C32" s="3" t="s">
        <v>126</v>
      </c>
      <c r="D32" s="3" t="s">
        <v>123</v>
      </c>
      <c r="E32" s="3" t="s">
        <v>122</v>
      </c>
      <c r="F32" s="3">
        <v>4000</v>
      </c>
    </row>
    <row r="33" spans="2:7" ht="15" thickBot="1">
      <c r="B33" s="27" t="s">
        <v>20</v>
      </c>
      <c r="C33" s="27" t="s">
        <v>126</v>
      </c>
      <c r="D33" s="27" t="s">
        <v>123</v>
      </c>
      <c r="E33" s="27" t="s">
        <v>124</v>
      </c>
      <c r="F33" s="27">
        <v>1000</v>
      </c>
    </row>
    <row r="34" spans="2:7" customFormat="1" hidden="1">
      <c r="B34" s="3" t="s">
        <v>127</v>
      </c>
      <c r="C34" s="3" t="s">
        <v>120</v>
      </c>
      <c r="D34" s="3" t="s">
        <v>125</v>
      </c>
      <c r="E34" s="3" t="s">
        <v>124</v>
      </c>
      <c r="F34" s="3">
        <v>1000</v>
      </c>
    </row>
    <row r="35" spans="2:7" customFormat="1" hidden="1">
      <c r="B35" s="3" t="s">
        <v>128</v>
      </c>
      <c r="C35" s="3" t="s">
        <v>120</v>
      </c>
      <c r="D35" s="3" t="s">
        <v>125</v>
      </c>
      <c r="E35" s="3" t="s">
        <v>122</v>
      </c>
      <c r="F35" s="3">
        <v>5000</v>
      </c>
    </row>
    <row r="36" spans="2:7" customFormat="1" hidden="1">
      <c r="B36" s="3" t="s">
        <v>129</v>
      </c>
      <c r="C36" s="3" t="s">
        <v>126</v>
      </c>
      <c r="D36" s="3" t="s">
        <v>121</v>
      </c>
      <c r="E36" s="3" t="s">
        <v>122</v>
      </c>
      <c r="F36" s="3">
        <v>3000</v>
      </c>
    </row>
    <row r="37" spans="2:7" ht="15" thickBot="1">
      <c r="B37" s="27" t="s">
        <v>130</v>
      </c>
      <c r="C37" s="27" t="s">
        <v>126</v>
      </c>
      <c r="D37" s="27" t="s">
        <v>121</v>
      </c>
      <c r="E37" s="27" t="s">
        <v>124</v>
      </c>
      <c r="F37" s="27">
        <v>500</v>
      </c>
    </row>
    <row r="38" spans="2:7" customFormat="1" hidden="1">
      <c r="B38" s="3" t="s">
        <v>21</v>
      </c>
      <c r="C38" s="3" t="s">
        <v>120</v>
      </c>
      <c r="D38" s="3" t="s">
        <v>121</v>
      </c>
      <c r="E38" s="3" t="s">
        <v>124</v>
      </c>
      <c r="F38" s="3">
        <v>500</v>
      </c>
      <c r="G38" s="3"/>
    </row>
    <row r="39" spans="2:7" customFormat="1" hidden="1">
      <c r="B39" s="3" t="s">
        <v>22</v>
      </c>
      <c r="C39" s="3" t="s">
        <v>126</v>
      </c>
      <c r="D39" s="3" t="s">
        <v>125</v>
      </c>
      <c r="E39" s="3" t="s">
        <v>122</v>
      </c>
      <c r="F39" s="3">
        <v>5000</v>
      </c>
      <c r="G39" s="3"/>
    </row>
    <row r="40" spans="2:7" customFormat="1" hidden="1">
      <c r="B40" s="3" t="s">
        <v>131</v>
      </c>
      <c r="C40" s="3" t="s">
        <v>120</v>
      </c>
      <c r="D40" s="3" t="s">
        <v>123</v>
      </c>
      <c r="E40" s="3" t="s">
        <v>122</v>
      </c>
      <c r="F40" s="3">
        <v>4000</v>
      </c>
      <c r="G40" s="3"/>
    </row>
    <row r="41" spans="2:7" ht="15" thickBot="1"/>
    <row r="42" spans="2:7" ht="15" thickBot="1">
      <c r="B42" s="84" t="s">
        <v>143</v>
      </c>
      <c r="C42" s="84"/>
      <c r="D42" s="84"/>
      <c r="E42" s="84"/>
      <c r="F42" s="84"/>
    </row>
    <row r="43" spans="2:7" ht="15" thickBot="1">
      <c r="B43" s="87" t="s">
        <v>48</v>
      </c>
      <c r="C43" s="87" t="s">
        <v>132</v>
      </c>
      <c r="D43" s="87" t="s">
        <v>133</v>
      </c>
      <c r="E43" s="87" t="s">
        <v>134</v>
      </c>
      <c r="F43" s="87" t="s">
        <v>135</v>
      </c>
    </row>
    <row r="44" spans="2:7" customFormat="1" hidden="1">
      <c r="B44" s="3" t="s">
        <v>13</v>
      </c>
      <c r="C44" s="3" t="s">
        <v>120</v>
      </c>
      <c r="D44" s="3" t="s">
        <v>121</v>
      </c>
      <c r="E44" s="3" t="s">
        <v>122</v>
      </c>
      <c r="F44" s="3">
        <v>3000</v>
      </c>
    </row>
    <row r="45" spans="2:7" customFormat="1" hidden="1">
      <c r="B45" s="3" t="s">
        <v>14</v>
      </c>
      <c r="C45" s="3" t="s">
        <v>120</v>
      </c>
      <c r="D45" s="3" t="s">
        <v>123</v>
      </c>
      <c r="E45" s="3" t="s">
        <v>124</v>
      </c>
      <c r="F45" s="3">
        <v>1000</v>
      </c>
    </row>
    <row r="46" spans="2:7" ht="15" thickBot="1">
      <c r="B46" s="27" t="s">
        <v>15</v>
      </c>
      <c r="C46" s="27" t="s">
        <v>120</v>
      </c>
      <c r="D46" s="27" t="s">
        <v>125</v>
      </c>
      <c r="E46" s="27" t="s">
        <v>124</v>
      </c>
      <c r="F46" s="27">
        <v>1000</v>
      </c>
    </row>
    <row r="47" spans="2:7" customFormat="1" hidden="1">
      <c r="B47" s="3" t="s">
        <v>16</v>
      </c>
      <c r="C47" s="3" t="s">
        <v>126</v>
      </c>
      <c r="D47" s="3" t="s">
        <v>121</v>
      </c>
      <c r="E47" s="3" t="s">
        <v>124</v>
      </c>
      <c r="F47" s="3">
        <v>500</v>
      </c>
    </row>
    <row r="48" spans="2:7" customFormat="1" hidden="1">
      <c r="B48" s="3" t="s">
        <v>17</v>
      </c>
      <c r="C48" s="3" t="s">
        <v>126</v>
      </c>
      <c r="D48" s="3" t="s">
        <v>121</v>
      </c>
      <c r="E48" s="3" t="s">
        <v>122</v>
      </c>
      <c r="F48" s="3">
        <v>3000</v>
      </c>
    </row>
    <row r="49" spans="2:19" customFormat="1" hidden="1">
      <c r="B49" s="3" t="s">
        <v>18</v>
      </c>
      <c r="C49" s="3" t="s">
        <v>126</v>
      </c>
      <c r="D49" s="3" t="s">
        <v>125</v>
      </c>
      <c r="E49" s="3" t="s">
        <v>122</v>
      </c>
      <c r="F49" s="3">
        <v>5000</v>
      </c>
    </row>
    <row r="50" spans="2:19" customFormat="1" hidden="1">
      <c r="B50" s="3" t="s">
        <v>19</v>
      </c>
      <c r="C50" s="3" t="s">
        <v>126</v>
      </c>
      <c r="D50" s="3" t="s">
        <v>123</v>
      </c>
      <c r="E50" s="3" t="s">
        <v>122</v>
      </c>
      <c r="F50" s="3">
        <v>4000</v>
      </c>
    </row>
    <row r="51" spans="2:19" customFormat="1" hidden="1">
      <c r="B51" s="3" t="s">
        <v>20</v>
      </c>
      <c r="C51" s="3" t="s">
        <v>126</v>
      </c>
      <c r="D51" s="3" t="s">
        <v>123</v>
      </c>
      <c r="E51" s="3" t="s">
        <v>124</v>
      </c>
      <c r="F51" s="3">
        <v>1000</v>
      </c>
    </row>
    <row r="52" spans="2:19" ht="15" thickBot="1">
      <c r="B52" s="27" t="s">
        <v>127</v>
      </c>
      <c r="C52" s="27" t="s">
        <v>120</v>
      </c>
      <c r="D52" s="27" t="s">
        <v>125</v>
      </c>
      <c r="E52" s="27" t="s">
        <v>124</v>
      </c>
      <c r="F52" s="27">
        <v>1000</v>
      </c>
    </row>
    <row r="53" spans="2:19" ht="15" thickBot="1">
      <c r="B53" s="27" t="s">
        <v>128</v>
      </c>
      <c r="C53" s="27" t="s">
        <v>120</v>
      </c>
      <c r="D53" s="27" t="s">
        <v>125</v>
      </c>
      <c r="E53" s="27" t="s">
        <v>122</v>
      </c>
      <c r="F53" s="27">
        <v>5000</v>
      </c>
      <c r="I53" s="85" t="s">
        <v>146</v>
      </c>
      <c r="J53" s="85"/>
      <c r="K53" s="85"/>
      <c r="L53" s="85"/>
      <c r="M53" s="85"/>
      <c r="N53" s="85"/>
      <c r="O53" s="85"/>
      <c r="P53" s="85"/>
      <c r="Q53" s="85"/>
      <c r="R53" s="85"/>
      <c r="S53" s="85"/>
    </row>
    <row r="54" spans="2:19" customFormat="1" hidden="1">
      <c r="B54" s="3" t="s">
        <v>129</v>
      </c>
      <c r="C54" s="3" t="s">
        <v>126</v>
      </c>
      <c r="D54" s="3" t="s">
        <v>121</v>
      </c>
      <c r="E54" s="3" t="s">
        <v>122</v>
      </c>
      <c r="F54" s="3">
        <v>3000</v>
      </c>
    </row>
    <row r="55" spans="2:19" customFormat="1" hidden="1">
      <c r="B55" s="3" t="s">
        <v>130</v>
      </c>
      <c r="C55" s="3" t="s">
        <v>126</v>
      </c>
      <c r="D55" s="3" t="s">
        <v>121</v>
      </c>
      <c r="E55" s="3" t="s">
        <v>124</v>
      </c>
      <c r="F55" s="3">
        <v>500</v>
      </c>
    </row>
    <row r="56" spans="2:19" customFormat="1" hidden="1">
      <c r="B56" s="3" t="s">
        <v>21</v>
      </c>
      <c r="C56" s="3" t="s">
        <v>120</v>
      </c>
      <c r="D56" s="3" t="s">
        <v>121</v>
      </c>
      <c r="E56" s="3" t="s">
        <v>124</v>
      </c>
      <c r="F56" s="3">
        <v>500</v>
      </c>
    </row>
    <row r="57" spans="2:19" customFormat="1" hidden="1">
      <c r="B57" s="3" t="s">
        <v>22</v>
      </c>
      <c r="C57" s="3" t="s">
        <v>126</v>
      </c>
      <c r="D57" s="3" t="s">
        <v>125</v>
      </c>
      <c r="E57" s="3" t="s">
        <v>122</v>
      </c>
      <c r="F57" s="3">
        <v>5000</v>
      </c>
    </row>
    <row r="58" spans="2:19" customFormat="1" hidden="1">
      <c r="B58" s="3" t="s">
        <v>131</v>
      </c>
      <c r="C58" s="3" t="s">
        <v>120</v>
      </c>
      <c r="D58" s="3" t="s">
        <v>123</v>
      </c>
      <c r="E58" s="3" t="s">
        <v>122</v>
      </c>
      <c r="F58" s="3">
        <v>4000</v>
      </c>
    </row>
    <row r="61" spans="2:19" ht="15" thickBot="1"/>
    <row r="62" spans="2:19" ht="15" thickBot="1">
      <c r="B62" s="84" t="s">
        <v>144</v>
      </c>
      <c r="C62" s="84"/>
      <c r="D62" s="84"/>
      <c r="E62" s="84"/>
      <c r="F62" s="84"/>
    </row>
    <row r="63" spans="2:19" ht="15" thickBot="1">
      <c r="B63" s="87" t="s">
        <v>48</v>
      </c>
      <c r="C63" s="87" t="s">
        <v>132</v>
      </c>
      <c r="D63" s="87" t="s">
        <v>133</v>
      </c>
      <c r="E63" s="87" t="s">
        <v>134</v>
      </c>
      <c r="F63" s="87" t="s">
        <v>135</v>
      </c>
    </row>
    <row r="64" spans="2:19" customFormat="1" hidden="1">
      <c r="B64" s="3" t="s">
        <v>13</v>
      </c>
      <c r="C64" s="3" t="s">
        <v>120</v>
      </c>
      <c r="D64" s="3" t="s">
        <v>121</v>
      </c>
      <c r="E64" s="3" t="s">
        <v>122</v>
      </c>
      <c r="F64" s="3">
        <v>3000</v>
      </c>
    </row>
    <row r="65" spans="2:6" customFormat="1" hidden="1">
      <c r="B65" s="3" t="s">
        <v>14</v>
      </c>
      <c r="C65" s="3" t="s">
        <v>120</v>
      </c>
      <c r="D65" s="3" t="s">
        <v>123</v>
      </c>
      <c r="E65" s="3" t="s">
        <v>124</v>
      </c>
      <c r="F65" s="3">
        <v>1000</v>
      </c>
    </row>
    <row r="66" spans="2:6" customFormat="1" hidden="1">
      <c r="B66" s="3" t="s">
        <v>15</v>
      </c>
      <c r="C66" s="3" t="s">
        <v>120</v>
      </c>
      <c r="D66" s="3" t="s">
        <v>125</v>
      </c>
      <c r="E66" s="3" t="s">
        <v>124</v>
      </c>
      <c r="F66" s="3">
        <v>1000</v>
      </c>
    </row>
    <row r="67" spans="2:6" customFormat="1" hidden="1">
      <c r="B67" s="3" t="s">
        <v>16</v>
      </c>
      <c r="C67" s="3" t="s">
        <v>126</v>
      </c>
      <c r="D67" s="3" t="s">
        <v>121</v>
      </c>
      <c r="E67" s="3" t="s">
        <v>124</v>
      </c>
      <c r="F67" s="3">
        <v>500</v>
      </c>
    </row>
    <row r="68" spans="2:6" customFormat="1" hidden="1">
      <c r="B68" s="3" t="s">
        <v>17</v>
      </c>
      <c r="C68" s="3" t="s">
        <v>126</v>
      </c>
      <c r="D68" s="3" t="s">
        <v>121</v>
      </c>
      <c r="E68" s="3" t="s">
        <v>122</v>
      </c>
      <c r="F68" s="3">
        <v>3000</v>
      </c>
    </row>
    <row r="69" spans="2:6" ht="15" thickBot="1">
      <c r="B69" s="27" t="s">
        <v>18</v>
      </c>
      <c r="C69" s="27" t="s">
        <v>126</v>
      </c>
      <c r="D69" s="27" t="s">
        <v>125</v>
      </c>
      <c r="E69" s="27" t="s">
        <v>122</v>
      </c>
      <c r="F69" s="27">
        <v>5000</v>
      </c>
    </row>
    <row r="70" spans="2:6" ht="15" thickBot="1">
      <c r="B70" s="27" t="s">
        <v>19</v>
      </c>
      <c r="C70" s="27" t="s">
        <v>126</v>
      </c>
      <c r="D70" s="27" t="s">
        <v>123</v>
      </c>
      <c r="E70" s="27" t="s">
        <v>122</v>
      </c>
      <c r="F70" s="27">
        <v>4000</v>
      </c>
    </row>
    <row r="71" spans="2:6" customFormat="1" hidden="1">
      <c r="B71" s="3" t="s">
        <v>20</v>
      </c>
      <c r="C71" s="3" t="s">
        <v>126</v>
      </c>
      <c r="D71" s="3" t="s">
        <v>123</v>
      </c>
      <c r="E71" s="3" t="s">
        <v>124</v>
      </c>
      <c r="F71" s="3">
        <v>1000</v>
      </c>
    </row>
    <row r="72" spans="2:6" customFormat="1" hidden="1">
      <c r="B72" s="3" t="s">
        <v>127</v>
      </c>
      <c r="C72" s="3" t="s">
        <v>120</v>
      </c>
      <c r="D72" s="3" t="s">
        <v>125</v>
      </c>
      <c r="E72" s="3" t="s">
        <v>124</v>
      </c>
      <c r="F72" s="3">
        <v>1000</v>
      </c>
    </row>
    <row r="73" spans="2:6" ht="15" thickBot="1">
      <c r="B73" s="27" t="s">
        <v>128</v>
      </c>
      <c r="C73" s="27" t="s">
        <v>120</v>
      </c>
      <c r="D73" s="27" t="s">
        <v>125</v>
      </c>
      <c r="E73" s="27" t="s">
        <v>122</v>
      </c>
      <c r="F73" s="27">
        <v>5000</v>
      </c>
    </row>
    <row r="74" spans="2:6" customFormat="1" hidden="1">
      <c r="B74" s="3" t="s">
        <v>129</v>
      </c>
      <c r="C74" s="3" t="s">
        <v>126</v>
      </c>
      <c r="D74" s="3" t="s">
        <v>121</v>
      </c>
      <c r="E74" s="3" t="s">
        <v>122</v>
      </c>
      <c r="F74" s="3">
        <v>3000</v>
      </c>
    </row>
    <row r="75" spans="2:6" customFormat="1" hidden="1">
      <c r="B75" s="3" t="s">
        <v>130</v>
      </c>
      <c r="C75" s="3" t="s">
        <v>126</v>
      </c>
      <c r="D75" s="3" t="s">
        <v>121</v>
      </c>
      <c r="E75" s="3" t="s">
        <v>124</v>
      </c>
      <c r="F75" s="3">
        <v>500</v>
      </c>
    </row>
    <row r="76" spans="2:6" customFormat="1" hidden="1">
      <c r="B76" s="3" t="s">
        <v>21</v>
      </c>
      <c r="C76" s="3" t="s">
        <v>120</v>
      </c>
      <c r="D76" s="3" t="s">
        <v>121</v>
      </c>
      <c r="E76" s="3" t="s">
        <v>124</v>
      </c>
      <c r="F76" s="3">
        <v>500</v>
      </c>
    </row>
    <row r="77" spans="2:6" ht="15" thickBot="1">
      <c r="B77" s="27" t="s">
        <v>22</v>
      </c>
      <c r="C77" s="27" t="s">
        <v>126</v>
      </c>
      <c r="D77" s="27" t="s">
        <v>125</v>
      </c>
      <c r="E77" s="27" t="s">
        <v>122</v>
      </c>
      <c r="F77" s="27">
        <v>5000</v>
      </c>
    </row>
    <row r="78" spans="2:6" ht="15" thickBot="1">
      <c r="B78" s="27" t="s">
        <v>131</v>
      </c>
      <c r="C78" s="27" t="s">
        <v>120</v>
      </c>
      <c r="D78" s="27" t="s">
        <v>123</v>
      </c>
      <c r="E78" s="27" t="s">
        <v>122</v>
      </c>
      <c r="F78" s="27">
        <v>4000</v>
      </c>
    </row>
    <row r="80" spans="2:6">
      <c r="B80" s="28"/>
      <c r="C80" s="28"/>
      <c r="D80" s="28"/>
      <c r="E80" s="28"/>
      <c r="F80" s="28"/>
    </row>
    <row r="88" spans="10:18">
      <c r="J88" s="29" t="s">
        <v>147</v>
      </c>
      <c r="K88" s="29"/>
      <c r="L88" s="29"/>
      <c r="M88" s="29"/>
      <c r="N88" s="29"/>
      <c r="O88" s="29"/>
      <c r="P88" s="29"/>
      <c r="Q88" s="29"/>
      <c r="R88" s="29"/>
    </row>
    <row r="109" spans="10:18">
      <c r="J109" s="85" t="s">
        <v>148</v>
      </c>
      <c r="K109" s="85"/>
      <c r="L109" s="85"/>
      <c r="M109" s="85"/>
      <c r="N109" s="85"/>
      <c r="O109" s="85"/>
      <c r="P109" s="85"/>
      <c r="Q109" s="85"/>
      <c r="R109" s="85"/>
    </row>
  </sheetData>
  <customSheetViews>
    <customSheetView guid="{8FE9C7E0-3B4A-4089-940B-F6B542D91A57}" scale="70" filter="1" hiddenRows="1">
      <selection activeCell="J10" sqref="J10"/>
      <pageMargins left="0.7" right="0.7" top="0.75" bottom="0.75" header="0.3" footer="0.3"/>
    </customSheetView>
  </customSheetViews>
  <mergeCells count="11">
    <mergeCell ref="A1:U3"/>
    <mergeCell ref="A4:XFD4"/>
    <mergeCell ref="I53:S53"/>
    <mergeCell ref="J109:R109"/>
    <mergeCell ref="J88:R88"/>
    <mergeCell ref="K5:P5"/>
    <mergeCell ref="B5:G5"/>
    <mergeCell ref="B24:F24"/>
    <mergeCell ref="B62:F62"/>
    <mergeCell ref="B42:F42"/>
    <mergeCell ref="K19:P19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6E59-75CB-433E-A649-1735D8800C37}">
  <sheetPr>
    <outlinePr summaryBelow="0"/>
  </sheetPr>
  <dimension ref="A1:J32"/>
  <sheetViews>
    <sheetView showGridLines="0" tabSelected="1" topLeftCell="A3" zoomScale="88" zoomScaleNormal="130" workbookViewId="0">
      <selection activeCell="I22" sqref="I22"/>
    </sheetView>
  </sheetViews>
  <sheetFormatPr defaultRowHeight="14.4" outlineLevelRow="1" outlineLevelCol="1"/>
  <cols>
    <col min="2" max="2" width="14.109375" customWidth="1"/>
    <col min="3" max="3" width="16.109375" customWidth="1"/>
    <col min="4" max="4" width="13.109375" customWidth="1" outlineLevel="1"/>
    <col min="5" max="5" width="15.44140625" customWidth="1" outlineLevel="1"/>
    <col min="6" max="6" width="34.5546875" customWidth="1" outlineLevel="1"/>
  </cols>
  <sheetData>
    <row r="1" spans="1:10" s="46" customFormat="1">
      <c r="A1" s="61" t="s">
        <v>175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46" customFormat="1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6" customFormat="1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pans="1:10" ht="15" thickBot="1"/>
    <row r="5" spans="1:10" ht="15" thickBot="1">
      <c r="B5" s="55" t="s">
        <v>163</v>
      </c>
      <c r="C5" s="56"/>
      <c r="D5" s="56"/>
      <c r="E5" s="56"/>
      <c r="F5" s="57"/>
    </row>
    <row r="6" spans="1:10" ht="16.2" thickBot="1">
      <c r="B6" s="48" t="s">
        <v>159</v>
      </c>
      <c r="C6" s="49"/>
      <c r="D6" s="49"/>
      <c r="E6" s="49"/>
      <c r="F6" s="50"/>
    </row>
    <row r="7" spans="1:10" ht="17.399999999999999" customHeight="1" thickBot="1">
      <c r="B7" s="51"/>
      <c r="C7" s="52"/>
      <c r="D7" s="53" t="s">
        <v>161</v>
      </c>
      <c r="E7" s="53" t="s">
        <v>157</v>
      </c>
      <c r="F7" s="54" t="s">
        <v>158</v>
      </c>
    </row>
    <row r="8" spans="1:10" ht="15" thickBot="1">
      <c r="B8" s="10" t="s">
        <v>160</v>
      </c>
      <c r="C8" s="11"/>
      <c r="D8" s="12"/>
      <c r="E8" s="12"/>
      <c r="F8" s="5"/>
    </row>
    <row r="9" spans="1:10" ht="16.8" customHeight="1" outlineLevel="1">
      <c r="B9" s="13"/>
      <c r="C9" s="14" t="s">
        <v>149</v>
      </c>
      <c r="D9" s="1">
        <v>60000</v>
      </c>
      <c r="E9" s="15">
        <v>80000</v>
      </c>
      <c r="F9" s="16">
        <v>60000</v>
      </c>
    </row>
    <row r="10" spans="1:10" outlineLevel="1">
      <c r="B10" s="13"/>
      <c r="C10" s="14" t="s">
        <v>150</v>
      </c>
      <c r="D10" s="1">
        <v>8000</v>
      </c>
      <c r="E10" s="15">
        <v>9000</v>
      </c>
      <c r="F10" s="16">
        <v>10000</v>
      </c>
    </row>
    <row r="11" spans="1:10" outlineLevel="1">
      <c r="B11" s="13"/>
      <c r="C11" s="14" t="s">
        <v>151</v>
      </c>
      <c r="D11" s="1">
        <v>30000</v>
      </c>
      <c r="E11" s="15">
        <v>30000</v>
      </c>
      <c r="F11" s="16">
        <v>30000</v>
      </c>
    </row>
    <row r="12" spans="1:10" outlineLevel="1">
      <c r="B12" s="13"/>
      <c r="C12" s="14" t="s">
        <v>152</v>
      </c>
      <c r="D12" s="1">
        <v>6000</v>
      </c>
      <c r="E12" s="15">
        <v>6000</v>
      </c>
      <c r="F12" s="16">
        <v>9000</v>
      </c>
    </row>
    <row r="13" spans="1:10" outlineLevel="1">
      <c r="B13" s="13"/>
      <c r="C13" s="14" t="s">
        <v>153</v>
      </c>
      <c r="D13" s="1">
        <v>7000</v>
      </c>
      <c r="E13" s="15">
        <v>8000</v>
      </c>
      <c r="F13" s="16">
        <v>7000</v>
      </c>
    </row>
    <row r="14" spans="1:10" outlineLevel="1">
      <c r="B14" s="13"/>
      <c r="C14" s="14" t="s">
        <v>154</v>
      </c>
      <c r="D14" s="1">
        <v>3000</v>
      </c>
      <c r="E14" s="15">
        <v>3000</v>
      </c>
      <c r="F14" s="16">
        <v>3000</v>
      </c>
    </row>
    <row r="15" spans="1:10" ht="15" outlineLevel="1" thickBot="1">
      <c r="B15" s="13"/>
      <c r="C15" s="14" t="s">
        <v>155</v>
      </c>
      <c r="D15" s="1">
        <v>5000</v>
      </c>
      <c r="E15" s="15">
        <v>5000</v>
      </c>
      <c r="F15" s="16">
        <v>5000</v>
      </c>
    </row>
    <row r="16" spans="1:10" ht="15" thickBot="1">
      <c r="B16" s="10" t="s">
        <v>162</v>
      </c>
      <c r="C16" s="11"/>
      <c r="D16" s="12"/>
      <c r="E16" s="12"/>
      <c r="F16" s="5"/>
    </row>
    <row r="17" spans="2:7" ht="15" outlineLevel="1" thickBot="1">
      <c r="B17" s="17"/>
      <c r="C17" s="18" t="s">
        <v>156</v>
      </c>
      <c r="D17" s="2">
        <v>119000</v>
      </c>
      <c r="E17" s="2">
        <v>119000</v>
      </c>
      <c r="F17" s="19">
        <v>119000</v>
      </c>
    </row>
    <row r="18" spans="2:7">
      <c r="B18" s="62" t="s">
        <v>171</v>
      </c>
      <c r="C18" s="21"/>
      <c r="D18" s="21"/>
      <c r="E18" s="21"/>
      <c r="F18" s="63"/>
    </row>
    <row r="19" spans="2:7" ht="15" thickBot="1">
      <c r="B19" s="64" t="s">
        <v>170</v>
      </c>
      <c r="C19" s="65"/>
      <c r="D19" s="65"/>
      <c r="E19" s="65"/>
      <c r="F19" s="66"/>
    </row>
    <row r="20" spans="2:7">
      <c r="B20" s="20"/>
      <c r="C20" s="20"/>
      <c r="D20" s="20"/>
      <c r="E20" s="20"/>
      <c r="F20" s="20"/>
    </row>
    <row r="21" spans="2:7" ht="15" thickBot="1"/>
    <row r="22" spans="2:7" ht="15" thickBot="1">
      <c r="C22" s="58" t="s">
        <v>168</v>
      </c>
      <c r="D22" s="58"/>
      <c r="E22" s="58"/>
      <c r="F22" s="58"/>
    </row>
    <row r="23" spans="2:7" ht="15" thickBot="1">
      <c r="C23" s="47" t="s">
        <v>165</v>
      </c>
      <c r="D23" s="47" t="s">
        <v>164</v>
      </c>
      <c r="E23" s="47" t="s">
        <v>166</v>
      </c>
      <c r="F23" s="47" t="s">
        <v>167</v>
      </c>
    </row>
    <row r="24" spans="2:7" ht="15" thickBot="1">
      <c r="C24" s="7">
        <v>1100</v>
      </c>
      <c r="D24" s="7">
        <v>900</v>
      </c>
      <c r="E24" s="7">
        <v>22000</v>
      </c>
      <c r="F24" s="8">
        <f>E24-C24-D24</f>
        <v>20000</v>
      </c>
    </row>
    <row r="26" spans="2:7" ht="15" thickBot="1"/>
    <row r="27" spans="2:7" ht="15" thickBot="1">
      <c r="C27" s="59" t="s">
        <v>169</v>
      </c>
      <c r="D27" s="60"/>
      <c r="E27" s="60"/>
      <c r="F27" s="60"/>
    </row>
    <row r="28" spans="2:7" ht="15" thickBot="1">
      <c r="C28" s="47" t="s">
        <v>165</v>
      </c>
      <c r="D28" s="47" t="s">
        <v>164</v>
      </c>
      <c r="E28" s="47" t="s">
        <v>166</v>
      </c>
      <c r="F28" s="47" t="s">
        <v>167</v>
      </c>
    </row>
    <row r="29" spans="2:7" ht="15" thickBot="1">
      <c r="C29" s="7">
        <v>9000</v>
      </c>
      <c r="D29" s="7">
        <v>400</v>
      </c>
      <c r="E29" s="7">
        <v>22000</v>
      </c>
      <c r="F29" s="9">
        <f>E29-C29-D29</f>
        <v>12600</v>
      </c>
    </row>
    <row r="31" spans="2:7">
      <c r="G31" s="4"/>
    </row>
    <row r="32" spans="2:7">
      <c r="G32" s="6"/>
    </row>
  </sheetData>
  <scenarios current="0">
    <scenario name="Maximize Profit Using Solver" count="2" user="Ayushi vats" comment="Created by Ayushi vats on 7/13/2025">
      <inputCells r="C29" val="9000"/>
      <inputCells r="D29" val="400"/>
    </scenario>
  </scenarios>
  <customSheetViews>
    <customSheetView guid="{8FE9C7E0-3B4A-4089-940B-F6B542D91A57}" scale="88" showGridLines="0">
      <selection activeCell="D23" sqref="D23"/>
      <pageMargins left="0.7" right="0.7" top="0.75" bottom="0.75" header="0.3" footer="0.3"/>
    </customSheetView>
  </customSheetViews>
  <mergeCells count="8">
    <mergeCell ref="A1:J3"/>
    <mergeCell ref="B6:F6"/>
    <mergeCell ref="B5:F5"/>
    <mergeCell ref="C22:F22"/>
    <mergeCell ref="C27:F27"/>
    <mergeCell ref="B18:F18"/>
    <mergeCell ref="B19:F19"/>
    <mergeCell ref="B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EXCEL PRACTICAL-1</vt:lpstr>
      <vt:lpstr>EXCEL PRACTICAL-2</vt:lpstr>
      <vt:lpstr>EXCEL PRACTICAL-3</vt:lpstr>
      <vt:lpstr>EXCEL PRACTICAL-4 </vt:lpstr>
      <vt:lpstr>'EXCEL PRACTICAL-3'!Criteria</vt:lpstr>
      <vt:lpstr>'EXCEL PRACTICAL-3'!Extract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Vats</dc:creator>
  <cp:lastModifiedBy>Harsh Vats</cp:lastModifiedBy>
  <dcterms:created xsi:type="dcterms:W3CDTF">2025-07-04T07:59:28Z</dcterms:created>
  <dcterms:modified xsi:type="dcterms:W3CDTF">2025-07-13T14:01:53Z</dcterms:modified>
</cp:coreProperties>
</file>